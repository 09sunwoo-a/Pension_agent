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e761f88d5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시연케이스" sheetId="1" r:id="R07173bac77404fe9"/>
    <x:sheet xmlns:r="http://schemas.openxmlformats.org/officeDocument/2006/relationships" name="01_BASIC" sheetId="2" r:id="Ra92df043e65343c7"/>
    <x:sheet xmlns:r="http://schemas.openxmlformats.org/officeDocument/2006/relationships" name="02_IRP_SUMMARY" sheetId="3" r:id="R7bc16a4f11f148f8"/>
    <x:sheet xmlns:r="http://schemas.openxmlformats.org/officeDocument/2006/relationships" name="03_PRODUCTS" sheetId="4" r:id="R37c42bfbafc74bfc"/>
    <x:sheet xmlns:r="http://schemas.openxmlformats.org/officeDocument/2006/relationships" name="04_ACTIVITY" sheetId="5" r:id="Rbbdfa974d6a24b1d"/>
    <x:sheet xmlns:r="http://schemas.openxmlformats.org/officeDocument/2006/relationships" name="05_TAX_ISA" sheetId="6" r:id="Rae1feaa0373347ff"/>
    <x:sheet xmlns:r="http://schemas.openxmlformats.org/officeDocument/2006/relationships" name="06_PENSION" sheetId="7" r:id="Ra4366376da954297"/>
    <x:sheet xmlns:r="http://schemas.openxmlformats.org/officeDocument/2006/relationships" name="07_PEER_COMPARE" sheetId="8" r:id="Rf8422fd0a15b4689"/>
    <x:sheet xmlns:r="http://schemas.openxmlformats.org/officeDocument/2006/relationships" name="08_BADGES" sheetId="9" r:id="R8f7d8def78714545"/>
    <x:sheet xmlns:r="http://schemas.openxmlformats.org/officeDocument/2006/relationships" name="09_데이터사전" sheetId="10" r:id="R1b4bd02ad6f340d0"/>
    <x:sheet xmlns:r="http://schemas.openxmlformats.org/officeDocument/2006/relationships" name="10_상담이력" sheetId="11" r:id="Rca7ec0b6f825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원&quot;"/>
    <x:numFmt numFmtId="201" formatCode="0.0%"/>
    <x:numFmt numFmtId="202" formatCode="yyyy-mm-dd"/>
    <x:numFmt numFmtId="203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86f1ce3e44a6b" /><Relationship Type="http://schemas.openxmlformats.org/officeDocument/2006/relationships/theme" Target="/xl/theme/theme1.xml" Id="R83370aa6a40b421f" /><Relationship Type="http://schemas.openxmlformats.org/officeDocument/2006/relationships/sharedStrings" Target="/xl/sharedStrings.xml" Id="Rc56af7eda333426c" /><Relationship Type="http://schemas.openxmlformats.org/officeDocument/2006/relationships/worksheet" Target="/xl/worksheets/sheet1.xml" Id="R07173bac77404fe9" /><Relationship Type="http://schemas.openxmlformats.org/officeDocument/2006/relationships/worksheet" Target="/xl/worksheets/sheet2.xml" Id="Ra92df043e65343c7" /><Relationship Type="http://schemas.openxmlformats.org/officeDocument/2006/relationships/worksheet" Target="/xl/worksheets/sheet3.xml" Id="R7bc16a4f11f148f8" /><Relationship Type="http://schemas.openxmlformats.org/officeDocument/2006/relationships/worksheet" Target="/xl/worksheets/sheet4.xml" Id="R37c42bfbafc74bfc" /><Relationship Type="http://schemas.openxmlformats.org/officeDocument/2006/relationships/worksheet" Target="/xl/worksheets/sheet5.xml" Id="Rbbdfa974d6a24b1d" /><Relationship Type="http://schemas.openxmlformats.org/officeDocument/2006/relationships/worksheet" Target="/xl/worksheets/sheet6.xml" Id="Rae1feaa0373347ff" /><Relationship Type="http://schemas.openxmlformats.org/officeDocument/2006/relationships/worksheet" Target="/xl/worksheets/sheet7.xml" Id="Ra4366376da954297" /><Relationship Type="http://schemas.openxmlformats.org/officeDocument/2006/relationships/worksheet" Target="/xl/worksheets/sheet8.xml" Id="Rf8422fd0a15b4689" /><Relationship Type="http://schemas.openxmlformats.org/officeDocument/2006/relationships/worksheet" Target="/xl/worksheets/sheet9.xml" Id="R8f7d8def78714545" /><Relationship Type="http://schemas.openxmlformats.org/officeDocument/2006/relationships/worksheet" Target="/xl/worksheets/sheet10.xml" Id="R1b4bd02ad6f340d0" /><Relationship Type="http://schemas.openxmlformats.org/officeDocument/2006/relationships/worksheet" Target="/xl/worksheets/sheet11.xml" Id="Rca7ec0b6f82544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b3ec8e7e4444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고객별 최근 1년 IRP 수익률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최근 1년 IRP 수익률</c:v>
          </c:tx>
          <c:cat>
            <c:strRef>
              <c:f>'00_시연케이스'!$B$3:$B$11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'00_시연케이스'!$F$3:$F$11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b3ec8e7e4444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5d99b23aa645b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" hidden="0" customWidth="1"/>
    <x:col min="3" max="3" width="4.25" hidden="0" customWidth="1"/>
    <x:col min="4" max="4" width="9.880000114440918" hidden="0" customWidth="1"/>
    <x:col min="5" max="5" width="11.630000114440918" hidden="0" customWidth="1"/>
    <x:col min="6" max="6" width="15.380000114440918" hidden="0" customWidth="1"/>
    <x:col min="7" max="7" width="32" hidden="0" customWidth="1"/>
    <x:col min="8" max="8" width="48" hidden="0" customWidth="1"/>
  </x:cols>
  <x:sheetData>
    <x:row r="1" ht="24" customHeight="1">
      <x:c r="A1" s="5" t="str">
        <x:v>IRP 사후관리 Agent 목업용 더미고객 — 9 Cases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KB-PIN</x:v>
      </x:c>
      <x:c r="B2" s="14" t="str">
        <x:v>고객명</x:v>
      </x:c>
      <x:c r="C2" s="14" t="str">
        <x:v>나이</x:v>
      </x:c>
      <x:c r="D2" s="14" t="str">
        <x:v>KB스타클럽</x:v>
      </x:c>
      <x:c r="E2" s="14" t="str">
        <x:v>전체평가금액</x:v>
      </x:c>
      <x:c r="F2" s="14" t="str">
        <x:v>최근1년 IRP수익률</x:v>
      </x:c>
      <x:c r="G2" s="14" t="str">
        <x:v>Badge</x:v>
      </x:c>
      <x:c r="H2" s="14" t="str">
        <x:v>시연 포인트</x:v>
      </x:c>
    </x:row>
    <x:row r="3">
      <x:c r="A3" t="str">
        <x:v>173544-2074623</x:v>
      </x:c>
      <x:c r="B3" t="str">
        <x:v>김현수</x:v>
      </x:c>
      <x:c r="C3" t="n">
        <x:v>29</x:v>
      </x:c>
      <x:c r="D3" t="str">
        <x:v>패밀리</x:v>
      </x:c>
      <x:c r="E3" s="20" t="n">
        <x:v>8000000</x:v>
      </x:c>
      <x:c r="F3" s="22" t="n">
        <x:v>-0.018000000000000002</x:v>
      </x:c>
      <x:c r="G3" t="str">
        <x:v>미운용현금자산</x:v>
      </x:c>
      <x:c r="H3" t="str">
        <x:v>단일형: 현금성자산 장기 방치 + 디폴트옵션 미설정 고객. 상담이력도 없어 Agent가 현재 데이터 중심으로 최초 상담안을 만드는 케이스.</x:v>
      </x:c>
    </x:row>
    <x:row r="4">
      <x:c r="A4" t="str">
        <x:v>154821-4938201</x:v>
      </x:c>
      <x:c r="B4" t="str">
        <x:v>박지민</x:v>
      </x:c>
      <x:c r="C4" t="n">
        <x:v>34</x:v>
      </x:c>
      <x:c r="D4" t="str">
        <x:v>그랜드</x:v>
      </x:c>
      <x:c r="E4" s="20" t="n">
        <x:v>32000000</x:v>
      </x:c>
      <x:c r="F4" s="22" t="n">
        <x:v>0.16899999999999998</x:v>
      </x:c>
      <x:c r="G4" t="str">
        <x:v>세액공제 잔여</x:v>
      </x:c>
      <x:c r="H4" t="str">
        <x:v>단일형: 운용성과는 양호하지만 세액공제 잔여한도가 있는 추가납 상담 케이스.</x:v>
      </x:c>
    </x:row>
    <x:row r="5">
      <x:c r="A5" t="str">
        <x:v>198734-1205842</x:v>
      </x:c>
      <x:c r="B5" t="str">
        <x:v>이준호</x:v>
      </x:c>
      <x:c r="C5" t="n">
        <x:v>41</x:v>
      </x:c>
      <x:c r="D5" t="str">
        <x:v>VIP</x:v>
      </x:c>
      <x:c r="E5" s="20" t="n">
        <x:v>125000000</x:v>
      </x:c>
      <x:c r="F5" s="22" t="n">
        <x:v>0.13699999999999998</x:v>
      </x:c>
      <x:c r="G5" t="str">
        <x:v>만기도래</x:v>
      </x:c>
      <x:c r="H5" t="str">
        <x:v>단일형: 수익률은 양호하나 4천만원 예금 만기가 임박한 재운용 상담 케이스.</x:v>
      </x:c>
    </x:row>
    <x:row r="6">
      <x:c r="A6" t="str">
        <x:v>165932-8741205</x:v>
      </x:c>
      <x:c r="B6" t="str">
        <x:v>최서윤</x:v>
      </x:c>
      <x:c r="C6" t="n">
        <x:v>47</x:v>
      </x:c>
      <x:c r="D6" t="str">
        <x:v>패밀리</x:v>
      </x:c>
      <x:c r="E6" s="20" t="n">
        <x:v>58000000</x:v>
      </x:c>
      <x:c r="F6" s="22" t="n">
        <x:v>-0.094</x:v>
      </x:c>
      <x:c r="G6" t="str">
        <x:v>판매중단펀드보유</x:v>
      </x:c>
      <x:c r="H6" t="str">
        <x:v>단일형: 판매중단펀드의 큰 손실이 전체 수익률을 끌어내리는 명확한 진단 케이스.</x:v>
      </x:c>
    </x:row>
    <x:row r="7">
      <x:c r="A7" t="str">
        <x:v>181245-3097614</x:v>
      </x:c>
      <x:c r="B7" t="str">
        <x:v>정민석</x:v>
      </x:c>
      <x:c r="C7" t="n">
        <x:v>53</x:v>
      </x:c>
      <x:c r="D7" t="str">
        <x:v>VVIP</x:v>
      </x:c>
      <x:c r="E7" s="20" t="n">
        <x:v>260000000</x:v>
      </x:c>
      <x:c r="F7" s="22" t="n">
        <x:v>0.031</x:v>
      </x:c>
      <x:c r="G7" t="str">
        <x:v>원리금보장 편중 / 성향-운용 불일치</x:v>
      </x:c>
      <x:c r="H7" t="str">
        <x:v>2개 복합: 공격투자형이면서 예금 100% 운용. 성향과 실제 운용 간 괴리가 매우 큰 케이스.</x:v>
      </x:c>
    </x:row>
    <x:row r="8">
      <x:c r="A8" t="str">
        <x:v>176903-5528417</x:v>
      </x:c>
      <x:c r="B8" t="str">
        <x:v>한지우</x:v>
      </x:c>
      <x:c r="C8" t="n">
        <x:v>57</x:v>
      </x:c>
      <x:c r="D8" t="str">
        <x:v>VIP</x:v>
      </x:c>
      <x:c r="E8" s="20" t="n">
        <x:v>210000000</x:v>
      </x:c>
      <x:c r="F8" s="22" t="n">
        <x:v>0.21600000000000003</x:v>
      </x:c>
      <x:c r="G8" t="str">
        <x:v>세액공제 잔여 / ISA만기자금 보유 고객</x:v>
      </x:c>
      <x:c r="H8" t="str">
        <x:v>2개 복합: 높은 수익률 고객의 ISA 만기자금과 세액공제 잔여한도를 연결하는 추가납 상담.</x:v>
      </x:c>
    </x:row>
    <x:row r="9">
      <x:c r="A9" t="str">
        <x:v>193482-6012375</x:v>
      </x:c>
      <x:c r="B9" t="str">
        <x:v>오세훈</x:v>
      </x:c>
      <x:c r="C9" t="n">
        <x:v>61</x:v>
      </x:c>
      <x:c r="D9" t="str">
        <x:v>그랜드</x:v>
      </x:c>
      <x:c r="E9" s="20" t="n">
        <x:v>165000000</x:v>
      </x:c>
      <x:c r="F9" s="22" t="n">
        <x:v>0.062</x:v>
      </x:c>
      <x:c r="G9" t="str">
        <x:v>만기도래 / 연금개시 요건충족 후 미개시</x:v>
      </x:c>
      <x:c r="H9" t="str">
        <x:v>2개 복합: 연금개시 가능 고객에게 예금 만기까지 겹쳐 수령·운용을 함께 점검하는 케이스. 디폴트옵션 미설정 · 연금저축펀드 보유 상태를 함께 둔다.</x:v>
      </x:c>
    </x:row>
    <x:row r="10">
      <x:c r="A10" t="str">
        <x:v>162754-9483106</x:v>
      </x:c>
      <x:c r="B10" t="str">
        <x:v>윤가영</x:v>
      </x:c>
      <x:c r="C10" t="n">
        <x:v>66</x:v>
      </x:c>
      <x:c r="D10" t="str">
        <x:v>VVIP</x:v>
      </x:c>
      <x:c r="E10" s="20" t="n">
        <x:v>480000000</x:v>
      </x:c>
      <x:c r="F10" s="22" t="n">
        <x:v>0.114</x:v>
      </x:c>
      <x:c r="G10" t="str">
        <x:v>이탈위험관찰</x:v>
      </x:c>
      <x:c r="H10" t="str">
        <x:v>단일형 관찰: 적극투자형·ETF 경험이 있으나 최근 대규모 자금이 현금으로 이동한 고객.</x:v>
      </x:c>
    </x:row>
    <x:row r="11">
      <x:c r="A11" t="str">
        <x:v>188406-7352194</x:v>
      </x:c>
      <x:c r="B11" t="str">
        <x:v>송도윤</x:v>
      </x:c>
      <x:c r="C11" t="n">
        <x:v>72</x:v>
      </x:c>
      <x:c r="D11" t="str">
        <x:v>VIP</x:v>
      </x:c>
      <x:c r="E11" s="20" t="n">
        <x:v>520000000</x:v>
      </x:c>
      <x:c r="F11" s="22" t="n">
        <x:v>0.326</x:v>
      </x:c>
      <x:c r="G11" t="str">
        <x:v>미운용현금자산 / 판매중단펀드보유 / ISA만기자금 보유 고객</x:v>
      </x:c>
      <x:c r="H11" t="str">
        <x:v>3개 복합: 초고수익 자산을 일부 보유하면서 현금도 과다한 고액고객. ISA 만기까지 겹친 다이나믹 시연.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H1"/>
  </x:mergeCells>
  <x:conditionalFormatting sqref="F3:F11">
    <x:cfRule type="colorScale" priority="1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pageMargins left="0.7" right="0.7" top="0.75" bottom="0.75" header="0.3" footer="0.3"/>
  <x:drawing xmlns:r="http://schemas.openxmlformats.org/officeDocument/2006/relationships" r:id="R3f5d99b23aa645b5"/>
</x:worksheet>
</file>

<file path=xl/worksheets/sheet2.xml><?xml version="1.0" encoding="utf-8"?>
<x:worksheet xmlns:x="http://schemas.openxmlformats.org/spreadsheetml/2006/main">
  <x:sheetFormatPr defaultRowHeight="15"/>
  <x:cols>
    <x:col min="1" max="1" width="23.8799991607666" hidden="0" customWidth="1"/>
    <x:col min="2" max="2" width="6" hidden="0" customWidth="1"/>
    <x:col min="3" max="3" width="6" hidden="0" customWidth="1"/>
    <x:col min="4" max="4" width="9.75" hidden="0" customWidth="1"/>
    <x:col min="5" max="5" width="13.380000114440918" hidden="0" customWidth="1"/>
    <x:col min="6" max="6" width="13.630000114440918" hidden="0" customWidth="1"/>
    <x:col min="7" max="7" width="24" hidden="0" customWidth="1"/>
    <x:col min="8" max="8" width="9.75" hidden="0" customWidth="1"/>
  </x:cols>
  <x:sheetData>
    <x:row r="1" ht="24" customHeight="1">
      <x:c r="A1" s="5" t="str">
        <x:v>BASIC — 고객 기본정보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KB-PIN</x:v>
      </x:c>
      <x:c r="B2" s="14" t="str">
        <x:v>고객명</x:v>
      </x:c>
      <x:c r="C2" s="14" t="str">
        <x:v>만나이</x:v>
      </x:c>
      <x:c r="D2" s="14" t="str">
        <x:v>투자성향</x:v>
      </x:c>
      <x:c r="E2" s="14" t="str">
        <x:v>투자성향분석일</x:v>
      </x:c>
      <x:c r="F2" s="14" t="str">
        <x:v>KB스타클럽등급</x:v>
      </x:c>
      <x:c r="G2" s="14" t="str">
        <x:v>관리점</x:v>
      </x:c>
      <x:c r="H2" s="14" t="str">
        <x:v>최근상담일</x:v>
      </x:c>
    </x:row>
    <x:row r="3">
      <x:c r="A3" t="str">
        <x:v>173544-2074623</x:v>
      </x:c>
      <x:c r="B3" t="str">
        <x:v>김현수</x:v>
      </x:c>
      <x:c r="C3" t="n">
        <x:v>29</x:v>
      </x:c>
      <x:c r="D3" t="str">
        <x:v>위험중립형</x:v>
      </x:c>
      <x:c r="E3" s="24" t="n">
        <x:v>46208</x:v>
      </x:c>
      <x:c r="F3" t="str">
        <x:v>패밀리</x:v>
      </x:c>
      <x:c r="G3" t="str">
        <x:v>여의도종합금융센터</x:v>
      </x:c>
      <x:c r="H3" s="24"/>
    </x:row>
    <x:row r="4">
      <x:c r="A4" t="str">
        <x:v>154821-4938201</x:v>
      </x:c>
      <x:c r="B4" t="str">
        <x:v>박지민</x:v>
      </x:c>
      <x:c r="C4" t="n">
        <x:v>34</x:v>
      </x:c>
      <x:c r="D4" t="str">
        <x:v>적극투자형</x:v>
      </x:c>
      <x:c r="E4" s="24" t="n">
        <x:v>46184</x:v>
      </x:c>
      <x:c r="F4" t="str">
        <x:v>그랜드</x:v>
      </x:c>
      <x:c r="G4" t="str">
        <x:v>여의도종합금융센터</x:v>
      </x:c>
      <x:c r="H4" s="24" t="n">
        <x:v>46205</x:v>
      </x:c>
    </x:row>
    <x:row r="5">
      <x:c r="A5" t="str">
        <x:v>198734-1205842</x:v>
      </x:c>
      <x:c r="B5" t="str">
        <x:v>이준호</x:v>
      </x:c>
      <x:c r="C5" t="n">
        <x:v>41</x:v>
      </x:c>
      <x:c r="D5" t="str">
        <x:v>적극투자형</x:v>
      </x:c>
      <x:c r="E5" s="24" t="n">
        <x:v>46162</x:v>
      </x:c>
      <x:c r="F5" t="str">
        <x:v>VIP</x:v>
      </x:c>
      <x:c r="G5" t="str">
        <x:v>여의도종합금융센터</x:v>
      </x:c>
      <x:c r="H5" s="24" t="n">
        <x:v>46170</x:v>
      </x:c>
    </x:row>
    <x:row r="6">
      <x:c r="A6" t="str">
        <x:v>165932-8741205</x:v>
      </x:c>
      <x:c r="B6" t="str">
        <x:v>최서윤</x:v>
      </x:c>
      <x:c r="C6" t="n">
        <x:v>47</x:v>
      </x:c>
      <x:c r="D6" t="str">
        <x:v>위험중립형</x:v>
      </x:c>
      <x:c r="E6" s="24" t="n">
        <x:v>46119</x:v>
      </x:c>
      <x:c r="F6" t="str">
        <x:v>패밀리</x:v>
      </x:c>
      <x:c r="G6" t="str">
        <x:v>여의도종합금융센터</x:v>
      </x:c>
      <x:c r="H6" s="24" t="n">
        <x:v>46006</x:v>
      </x:c>
    </x:row>
    <x:row r="7">
      <x:c r="A7" t="str">
        <x:v>181245-3097614</x:v>
      </x:c>
      <x:c r="B7" t="str">
        <x:v>정민석</x:v>
      </x:c>
      <x:c r="C7" t="n">
        <x:v>53</x:v>
      </x:c>
      <x:c r="D7" t="str">
        <x:v>공격투자형</x:v>
      </x:c>
      <x:c r="E7" s="24" t="n">
        <x:v>46221</x:v>
      </x:c>
      <x:c r="F7" t="str">
        <x:v>VVIP</x:v>
      </x:c>
      <x:c r="G7" t="str">
        <x:v>여의도종합금융센터</x:v>
      </x:c>
      <x:c r="H7" s="24" t="n">
        <x:v>46073</x:v>
      </x:c>
    </x:row>
    <x:row r="8">
      <x:c r="A8" t="str">
        <x:v>176903-5528417</x:v>
      </x:c>
      <x:c r="B8" t="str">
        <x:v>한지우</x:v>
      </x:c>
      <x:c r="C8" t="n">
        <x:v>57</x:v>
      </x:c>
      <x:c r="D8" t="str">
        <x:v>적극투자형</x:v>
      </x:c>
      <x:c r="E8" s="24" t="n">
        <x:v>46203</x:v>
      </x:c>
      <x:c r="F8" t="str">
        <x:v>VIP</x:v>
      </x:c>
      <x:c r="G8" t="str">
        <x:v>여의도종합금융센터</x:v>
      </x:c>
      <x:c r="H8" s="24" t="n">
        <x:v>46234</x:v>
      </x:c>
    </x:row>
    <x:row r="9">
      <x:c r="A9" t="str">
        <x:v>193482-6012375</x:v>
      </x:c>
      <x:c r="B9" t="str">
        <x:v>오세훈</x:v>
      </x:c>
      <x:c r="C9" t="n">
        <x:v>61</x:v>
      </x:c>
      <x:c r="D9" t="str">
        <x:v>안정추구형</x:v>
      </x:c>
      <x:c r="E9" s="24" t="n">
        <x:v>46145</x:v>
      </x:c>
      <x:c r="F9" t="str">
        <x:v>그랜드</x:v>
      </x:c>
      <x:c r="G9" t="str">
        <x:v>여의도종합금융센터</x:v>
      </x:c>
      <x:c r="H9" s="24" t="n">
        <x:v>46185</x:v>
      </x:c>
    </x:row>
    <x:row r="10">
      <x:c r="A10" t="str">
        <x:v>162754-9483106</x:v>
      </x:c>
      <x:c r="B10" t="str">
        <x:v>윤가영</x:v>
      </x:c>
      <x:c r="C10" t="n">
        <x:v>66</x:v>
      </x:c>
      <x:c r="D10" t="str">
        <x:v>적극투자형</x:v>
      </x:c>
      <x:c r="E10" s="24" t="n">
        <x:v>46235</x:v>
      </x:c>
      <x:c r="F10" t="str">
        <x:v>VVIP</x:v>
      </x:c>
      <x:c r="G10" t="str">
        <x:v>여의도종합금융센터</x:v>
      </x:c>
      <x:c r="H10" s="24" t="n">
        <x:v>46239</x:v>
      </x:c>
    </x:row>
    <x:row r="11">
      <x:c r="A11" t="str">
        <x:v>188406-7352194</x:v>
      </x:c>
      <x:c r="B11" t="str">
        <x:v>송도윤</x:v>
      </x:c>
      <x:c r="C11" t="n">
        <x:v>72</x:v>
      </x:c>
      <x:c r="D11" t="str">
        <x:v>위험중립형</x:v>
      </x:c>
      <x:c r="E11" s="24" t="n">
        <x:v>46095</x:v>
      </x:c>
      <x:c r="F11" t="str">
        <x:v>VIP</x:v>
      </x:c>
      <x:c r="G11" t="str">
        <x:v>여의도종합금융센터</x:v>
      </x:c>
      <x:c r="H11" s="24" t="n">
        <x:v>45936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75" hidden="0" customWidth="1"/>
    <x:col min="2" max="2" width="11.630000114440918" hidden="0" customWidth="1"/>
    <x:col min="3" max="3" width="17" hidden="0" customWidth="1"/>
    <x:col min="4" max="4" width="13.380000114440918" hidden="0" customWidth="1"/>
    <x:col min="5" max="5" width="11.630000114440918" hidden="0" customWidth="1"/>
    <x:col min="6" max="6" width="7.880000114440918" hidden="0" customWidth="1"/>
    <x:col min="7" max="7" width="10.75" hidden="0" customWidth="1"/>
    <x:col min="8" max="8" width="6.880000114440918" hidden="0" customWidth="1"/>
    <x:col min="9" max="9" width="15.25" hidden="0" customWidth="1"/>
    <x:col min="10" max="10" width="11.5" hidden="0" customWidth="1"/>
    <x:col min="11" max="11" width="11.630000114440918" hidden="0" customWidth="1"/>
    <x:col min="12" max="12" width="6.880000114440918" hidden="0" customWidth="1"/>
    <x:col min="13" max="13" width="11.5" hidden="0" customWidth="1"/>
    <x:col min="14" max="14" width="7.880000114440918" hidden="0" customWidth="1"/>
    <x:col min="15" max="15" width="15.25" hidden="0" customWidth="1"/>
    <x:col min="16" max="16" width="15" hidden="0" customWidth="1"/>
    <x:col min="17" max="17" width="17" hidden="0" customWidth="1"/>
    <x:col min="18" max="18" width="17" hidden="0" customWidth="1"/>
  </x:cols>
  <x:sheetData>
    <x:row r="1" ht="24" customHeight="1">
      <x:c r="A1" s="5" t="str">
        <x:v>IRP_SUMMARY — IRP 계좌현황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14" t="str">
        <x:v>KB-PIN</x:v>
      </x:c>
      <x:c r="B2" s="14" t="str">
        <x:v>전체평가금액</x:v>
      </x:c>
      <x:c r="C2" s="14" t="str">
        <x:v>고유계정대평가금액</x:v>
      </x:c>
      <x:c r="D2" s="14" t="str">
        <x:v>고유계정대비중</x:v>
      </x:c>
      <x:c r="E2" s="14" t="str">
        <x:v>예금평가금액</x:v>
      </x:c>
      <x:c r="F2" s="14" t="str">
        <x:v>예금비중</x:v>
      </x:c>
      <x:c r="G2" s="14" t="str">
        <x:v>GIC평가금액</x:v>
      </x:c>
      <x:c r="H2" s="14" t="str">
        <x:v>GIC비중</x:v>
      </x:c>
      <x:c r="I2" s="14" t="str">
        <x:v>수익증권평가금액</x:v>
      </x:c>
      <x:c r="J2" s="14" t="str">
        <x:v>수익증권비중</x:v>
      </x:c>
      <x:c r="K2" s="14" t="str">
        <x:v>ETF평가금액</x:v>
      </x:c>
      <x:c r="L2" s="14" t="str">
        <x:v>ETF비중</x:v>
      </x:c>
      <x:c r="M2" s="14" t="str">
        <x:v>기타평가금액</x:v>
      </x:c>
      <x:c r="N2" s="14" t="str">
        <x:v>기타비중</x:v>
      </x:c>
      <x:c r="O2" s="14" t="str">
        <x:v>실적배당상품비중</x:v>
      </x:c>
      <x:c r="P2" s="14" t="str">
        <x:v>최근1년IRP수익률</x:v>
      </x:c>
      <x:c r="Q2" s="14" t="str">
        <x:v>디폴트옵션등록여부</x:v>
      </x:c>
      <x:c r="R2" s="14" t="str">
        <x:v>디폴트옵션위험등급</x:v>
      </x:c>
    </x:row>
    <x:row r="3">
      <x:c r="A3" t="str">
        <x:v>173544-2074623</x:v>
      </x:c>
      <x:c r="B3" s="20" t="n">
        <x:f>SUMIFS('03_PRODUCTS'!$E:$E,'03_PRODUCTS'!$A:$A,$A3)</x:f>
        <x:v>8000000</x:v>
      </x:c>
      <x:c r="C3" s="20" t="n">
        <x:f>SUMIFS('03_PRODUCTS'!$E:$E,'03_PRODUCTS'!$A:$A,$A3,'03_PRODUCTS'!$C:$C,"고유계정대")</x:f>
        <x:v>6000000</x:v>
      </x:c>
      <x:c r="D3" s="22" t="n">
        <x:f>IFERROR(C3/$B3,0)</x:f>
        <x:v>0.75</x:v>
      </x:c>
      <x:c r="E3" s="20" t="n">
        <x:f>SUMIFS('03_PRODUCTS'!$E:$E,'03_PRODUCTS'!$A:$A,$A3,'03_PRODUCTS'!$C:$C,"예금")</x:f>
        <x:v>1200000</x:v>
      </x:c>
      <x:c r="F3" s="22" t="n">
        <x:f>IFERROR(E3/$B3,0)</x:f>
        <x:v>0.15</x:v>
      </x:c>
      <x:c r="G3" s="20" t="n">
        <x:f>SUMIFS('03_PRODUCTS'!$E:$E,'03_PRODUCTS'!$A:$A,$A3,'03_PRODUCTS'!$C:$C,"GIC")</x:f>
        <x:v>0</x:v>
      </x:c>
      <x:c r="H3" s="22" t="n">
        <x:f>IFERROR(G3/$B3,0)</x:f>
        <x:v>0</x:v>
      </x:c>
      <x:c r="I3" s="20" t="n">
        <x:f>SUMIFS('03_PRODUCTS'!$E:$E,'03_PRODUCTS'!$A:$A,$A3,'03_PRODUCTS'!$C:$C,"수익증권")</x:f>
        <x:v>800000</x:v>
      </x:c>
      <x:c r="J3" s="22" t="n">
        <x:f>IFERROR(I3/$B3,0)</x:f>
        <x:v>0.1</x:v>
      </x:c>
      <x:c r="K3" s="20" t="n">
        <x:f>SUMIFS('03_PRODUCTS'!$E:$E,'03_PRODUCTS'!$A:$A,$A3,'03_PRODUCTS'!$C:$C,"ETF")</x:f>
        <x:v>0</x:v>
      </x:c>
      <x:c r="L3" s="22" t="n">
        <x:f>IFERROR(K3/$B3,0)</x:f>
        <x:v>0</x:v>
      </x:c>
      <x:c r="M3" s="20" t="n">
        <x:f>SUMIFS('03_PRODUCTS'!$E:$E,'03_PRODUCTS'!$A:$A,$A3,'03_PRODUCTS'!$C:$C,"기타")</x:f>
        <x:v>0</x:v>
      </x:c>
      <x:c r="N3" s="22" t="n">
        <x:f>IFERROR(M3/$B3,0)</x:f>
        <x:v>0</x:v>
      </x:c>
      <x:c r="O3" s="22" t="n">
        <x:f>IFERROR((I3+K3)/$B3,0)</x:f>
        <x:v>0.1</x:v>
      </x:c>
      <x:c r="P3" s="22" t="n">
        <x:v>-0.018000000000000002</x:v>
      </x:c>
      <x:c r="Q3" t="str">
        <x:v>N</x:v>
      </x:c>
      <x:c r="R3" t="str">
        <x:v>미설정</x:v>
      </x:c>
    </x:row>
    <x:row r="4">
      <x:c r="A4" t="str">
        <x:v>154821-4938201</x:v>
      </x:c>
      <x:c r="B4" s="20" t="n">
        <x:f>SUMIFS('03_PRODUCTS'!$E:$E,'03_PRODUCTS'!$A:$A,$A4)</x:f>
        <x:v>32000000</x:v>
      </x:c>
      <x:c r="C4" s="20" t="n">
        <x:f>SUMIFS('03_PRODUCTS'!$E:$E,'03_PRODUCTS'!$A:$A,$A4,'03_PRODUCTS'!$C:$C,"고유계정대")</x:f>
        <x:v>1000000</x:v>
      </x:c>
      <x:c r="D4" s="22" t="n">
        <x:f>IFERROR(C4/$B4,0)</x:f>
        <x:v>0.03125</x:v>
      </x:c>
      <x:c r="E4" s="20" t="n">
        <x:f>SUMIFS('03_PRODUCTS'!$E:$E,'03_PRODUCTS'!$A:$A,$A4,'03_PRODUCTS'!$C:$C,"예금")</x:f>
        <x:v>7000000</x:v>
      </x:c>
      <x:c r="F4" s="22" t="n">
        <x:f>IFERROR(E4/$B4,0)</x:f>
        <x:v>0.21875</x:v>
      </x:c>
      <x:c r="G4" s="20" t="n">
        <x:f>SUMIFS('03_PRODUCTS'!$E:$E,'03_PRODUCTS'!$A:$A,$A4,'03_PRODUCTS'!$C:$C,"GIC")</x:f>
        <x:v>0</x:v>
      </x:c>
      <x:c r="H4" s="22" t="n">
        <x:f>IFERROR(G4/$B4,0)</x:f>
        <x:v>0</x:v>
      </x:c>
      <x:c r="I4" s="20" t="n">
        <x:f>SUMIFS('03_PRODUCTS'!$E:$E,'03_PRODUCTS'!$A:$A,$A4,'03_PRODUCTS'!$C:$C,"수익증권")</x:f>
        <x:v>14800000</x:v>
      </x:c>
      <x:c r="J4" s="22" t="n">
        <x:f>IFERROR(I4/$B4,0)</x:f>
        <x:v>0.4625</x:v>
      </x:c>
      <x:c r="K4" s="20" t="n">
        <x:f>SUMIFS('03_PRODUCTS'!$E:$E,'03_PRODUCTS'!$A:$A,$A4,'03_PRODUCTS'!$C:$C,"ETF")</x:f>
        <x:v>9200000</x:v>
      </x:c>
      <x:c r="L4" s="22" t="n">
        <x:f>IFERROR(K4/$B4,0)</x:f>
        <x:v>0.2875</x:v>
      </x:c>
      <x:c r="M4" s="20" t="n">
        <x:f>SUMIFS('03_PRODUCTS'!$E:$E,'03_PRODUCTS'!$A:$A,$A4,'03_PRODUCTS'!$C:$C,"기타")</x:f>
        <x:v>0</x:v>
      </x:c>
      <x:c r="N4" s="22" t="n">
        <x:f>IFERROR(M4/$B4,0)</x:f>
        <x:v>0</x:v>
      </x:c>
      <x:c r="O4" s="22" t="n">
        <x:f>IFERROR((I4+K4)/$B4,0)</x:f>
        <x:v>0.75</x:v>
      </x:c>
      <x:c r="P4" s="22" t="n">
        <x:v>0.16899999999999998</x:v>
      </x:c>
      <x:c r="Q4" t="str">
        <x:v>Y</x:v>
      </x:c>
      <x:c r="R4" t="str">
        <x:v>저위험</x:v>
      </x:c>
    </x:row>
    <x:row r="5">
      <x:c r="A5" t="str">
        <x:v>198734-1205842</x:v>
      </x:c>
      <x:c r="B5" s="20" t="n">
        <x:f>SUMIFS('03_PRODUCTS'!$E:$E,'03_PRODUCTS'!$A:$A,$A5)</x:f>
        <x:v>125000000</x:v>
      </x:c>
      <x:c r="C5" s="20" t="n">
        <x:f>SUMIFS('03_PRODUCTS'!$E:$E,'03_PRODUCTS'!$A:$A,$A5,'03_PRODUCTS'!$C:$C,"고유계정대")</x:f>
        <x:v>5000000</x:v>
      </x:c>
      <x:c r="D5" s="22" t="n">
        <x:f>IFERROR(C5/$B5,0)</x:f>
        <x:v>0.04</x:v>
      </x:c>
      <x:c r="E5" s="20" t="n">
        <x:f>SUMIFS('03_PRODUCTS'!$E:$E,'03_PRODUCTS'!$A:$A,$A5,'03_PRODUCTS'!$C:$C,"예금")</x:f>
        <x:v>40500000</x:v>
      </x:c>
      <x:c r="F5" s="22" t="n">
        <x:f>IFERROR(E5/$B5,0)</x:f>
        <x:v>0.324</x:v>
      </x:c>
      <x:c r="G5" s="20" t="n">
        <x:f>SUMIFS('03_PRODUCTS'!$E:$E,'03_PRODUCTS'!$A:$A,$A5,'03_PRODUCTS'!$C:$C,"GIC")</x:f>
        <x:v>0</x:v>
      </x:c>
      <x:c r="H5" s="22" t="n">
        <x:f>IFERROR(G5/$B5,0)</x:f>
        <x:v>0</x:v>
      </x:c>
      <x:c r="I5" s="20" t="n">
        <x:f>SUMIFS('03_PRODUCTS'!$E:$E,'03_PRODUCTS'!$A:$A,$A5,'03_PRODUCTS'!$C:$C,"수익증권")</x:f>
        <x:v>48000000</x:v>
      </x:c>
      <x:c r="J5" s="22" t="n">
        <x:f>IFERROR(I5/$B5,0)</x:f>
        <x:v>0.384</x:v>
      </x:c>
      <x:c r="K5" s="20" t="n">
        <x:f>SUMIFS('03_PRODUCTS'!$E:$E,'03_PRODUCTS'!$A:$A,$A5,'03_PRODUCTS'!$C:$C,"ETF")</x:f>
        <x:v>31500000</x:v>
      </x:c>
      <x:c r="L5" s="22" t="n">
        <x:f>IFERROR(K5/$B5,0)</x:f>
        <x:v>0.252</x:v>
      </x:c>
      <x:c r="M5" s="20" t="n">
        <x:f>SUMIFS('03_PRODUCTS'!$E:$E,'03_PRODUCTS'!$A:$A,$A5,'03_PRODUCTS'!$C:$C,"기타")</x:f>
        <x:v>0</x:v>
      </x:c>
      <x:c r="N5" s="22" t="n">
        <x:f>IFERROR(M5/$B5,0)</x:f>
        <x:v>0</x:v>
      </x:c>
      <x:c r="O5" s="22" t="n">
        <x:f>IFERROR((I5+K5)/$B5,0)</x:f>
        <x:v>0.636</x:v>
      </x:c>
      <x:c r="P5" s="22" t="n">
        <x:v>0.13699999999999998</x:v>
      </x:c>
      <x:c r="Q5" t="str">
        <x:v>Y</x:v>
      </x:c>
      <x:c r="R5" t="str">
        <x:v>저위험</x:v>
      </x:c>
    </x:row>
    <x:row r="6">
      <x:c r="A6" t="str">
        <x:v>165932-8741205</x:v>
      </x:c>
      <x:c r="B6" s="20" t="n">
        <x:f>SUMIFS('03_PRODUCTS'!$E:$E,'03_PRODUCTS'!$A:$A,$A6)</x:f>
        <x:v>58000000</x:v>
      </x:c>
      <x:c r="C6" s="20" t="n">
        <x:f>SUMIFS('03_PRODUCTS'!$E:$E,'03_PRODUCTS'!$A:$A,$A6,'03_PRODUCTS'!$C:$C,"고유계정대")</x:f>
        <x:v>3000000</x:v>
      </x:c>
      <x:c r="D6" s="22" t="n">
        <x:f>IFERROR(C6/$B6,0)</x:f>
        <x:v>0.05172413793103448</x:v>
      </x:c>
      <x:c r="E6" s="20" t="n">
        <x:f>SUMIFS('03_PRODUCTS'!$E:$E,'03_PRODUCTS'!$A:$A,$A6,'03_PRODUCTS'!$C:$C,"예금")</x:f>
        <x:v>18000000</x:v>
      </x:c>
      <x:c r="F6" s="22" t="n">
        <x:f>IFERROR(E6/$B6,0)</x:f>
        <x:v>0.3103448275862069</x:v>
      </x:c>
      <x:c r="G6" s="20" t="n">
        <x:f>SUMIFS('03_PRODUCTS'!$E:$E,'03_PRODUCTS'!$A:$A,$A6,'03_PRODUCTS'!$C:$C,"GIC")</x:f>
        <x:v>0</x:v>
      </x:c>
      <x:c r="H6" s="22" t="n">
        <x:f>IFERROR(G6/$B6,0)</x:f>
        <x:v>0</x:v>
      </x:c>
      <x:c r="I6" s="20" t="n">
        <x:f>SUMIFS('03_PRODUCTS'!$E:$E,'03_PRODUCTS'!$A:$A,$A6,'03_PRODUCTS'!$C:$C,"수익증권")</x:f>
        <x:v>24500000</x:v>
      </x:c>
      <x:c r="J6" s="22" t="n">
        <x:f>IFERROR(I6/$B6,0)</x:f>
        <x:v>0.4224137931034483</x:v>
      </x:c>
      <x:c r="K6" s="20" t="n">
        <x:f>SUMIFS('03_PRODUCTS'!$E:$E,'03_PRODUCTS'!$A:$A,$A6,'03_PRODUCTS'!$C:$C,"ETF")</x:f>
        <x:v>12500000</x:v>
      </x:c>
      <x:c r="L6" s="22" t="n">
        <x:f>IFERROR(K6/$B6,0)</x:f>
        <x:v>0.21551724137931033</x:v>
      </x:c>
      <x:c r="M6" s="20" t="n">
        <x:f>SUMIFS('03_PRODUCTS'!$E:$E,'03_PRODUCTS'!$A:$A,$A6,'03_PRODUCTS'!$C:$C,"기타")</x:f>
        <x:v>0</x:v>
      </x:c>
      <x:c r="N6" s="22" t="n">
        <x:f>IFERROR(M6/$B6,0)</x:f>
        <x:v>0</x:v>
      </x:c>
      <x:c r="O6" s="22" t="n">
        <x:f>IFERROR((I6+K6)/$B6,0)</x:f>
        <x:v>0.6379310344827587</x:v>
      </x:c>
      <x:c r="P6" s="22" t="n">
        <x:v>-0.094</x:v>
      </x:c>
      <x:c r="Q6" t="str">
        <x:v>Y</x:v>
      </x:c>
      <x:c r="R6" t="str">
        <x:v>저위험</x:v>
      </x:c>
    </x:row>
    <x:row r="7">
      <x:c r="A7" t="str">
        <x:v>181245-3097614</x:v>
      </x:c>
      <x:c r="B7" s="20" t="n">
        <x:f>SUMIFS('03_PRODUCTS'!$E:$E,'03_PRODUCTS'!$A:$A,$A7)</x:f>
        <x:v>260000000</x:v>
      </x:c>
      <x:c r="C7" s="20" t="n">
        <x:f>SUMIFS('03_PRODUCTS'!$E:$E,'03_PRODUCTS'!$A:$A,$A7,'03_PRODUCTS'!$C:$C,"고유계정대")</x:f>
        <x:v>20000000</x:v>
      </x:c>
      <x:c r="D7" s="22" t="n">
        <x:f>IFERROR(C7/$B7,0)</x:f>
        <x:v>0.07692307692307693</x:v>
      </x:c>
      <x:c r="E7" s="20" t="n">
        <x:f>SUMIFS('03_PRODUCTS'!$E:$E,'03_PRODUCTS'!$A:$A,$A7,'03_PRODUCTS'!$C:$C,"예금")</x:f>
        <x:v>240000000</x:v>
      </x:c>
      <x:c r="F7" s="22" t="n">
        <x:f>IFERROR(E7/$B7,0)</x:f>
        <x:v>0.9230769230769231</x:v>
      </x:c>
      <x:c r="G7" s="20" t="n">
        <x:f>SUMIFS('03_PRODUCTS'!$E:$E,'03_PRODUCTS'!$A:$A,$A7,'03_PRODUCTS'!$C:$C,"GIC")</x:f>
        <x:v>0</x:v>
      </x:c>
      <x:c r="H7" s="22" t="n">
        <x:f>IFERROR(G7/$B7,0)</x:f>
        <x:v>0</x:v>
      </x:c>
      <x:c r="I7" s="20" t="n">
        <x:f>SUMIFS('03_PRODUCTS'!$E:$E,'03_PRODUCTS'!$A:$A,$A7,'03_PRODUCTS'!$C:$C,"수익증권")</x:f>
        <x:v>0</x:v>
      </x:c>
      <x:c r="J7" s="22" t="n">
        <x:f>IFERROR(I7/$B7,0)</x:f>
        <x:v>0</x:v>
      </x:c>
      <x:c r="K7" s="20" t="n">
        <x:f>SUMIFS('03_PRODUCTS'!$E:$E,'03_PRODUCTS'!$A:$A,$A7,'03_PRODUCTS'!$C:$C,"ETF")</x:f>
        <x:v>0</x:v>
      </x:c>
      <x:c r="L7" s="22" t="n">
        <x:f>IFERROR(K7/$B7,0)</x:f>
        <x:v>0</x:v>
      </x:c>
      <x:c r="M7" s="20" t="n">
        <x:f>SUMIFS('03_PRODUCTS'!$E:$E,'03_PRODUCTS'!$A:$A,$A7,'03_PRODUCTS'!$C:$C,"기타")</x:f>
        <x:v>0</x:v>
      </x:c>
      <x:c r="N7" s="22" t="n">
        <x:f>IFERROR(M7/$B7,0)</x:f>
        <x:v>0</x:v>
      </x:c>
      <x:c r="O7" s="22" t="n">
        <x:f>IFERROR((I7+K7)/$B7,0)</x:f>
        <x:v>0</x:v>
      </x:c>
      <x:c r="P7" s="22" t="n">
        <x:v>0.031</x:v>
      </x:c>
      <x:c r="Q7" t="str">
        <x:v>Y</x:v>
      </x:c>
      <x:c r="R7" t="str">
        <x:v>초저위험</x:v>
      </x:c>
    </x:row>
    <x:row r="8">
      <x:c r="A8" t="str">
        <x:v>176903-5528417</x:v>
      </x:c>
      <x:c r="B8" s="20" t="n">
        <x:f>SUMIFS('03_PRODUCTS'!$E:$E,'03_PRODUCTS'!$A:$A,$A8)</x:f>
        <x:v>210000000</x:v>
      </x:c>
      <x:c r="C8" s="20" t="n">
        <x:f>SUMIFS('03_PRODUCTS'!$E:$E,'03_PRODUCTS'!$A:$A,$A8,'03_PRODUCTS'!$C:$C,"고유계정대")</x:f>
        <x:v>5000000</x:v>
      </x:c>
      <x:c r="D8" s="22" t="n">
        <x:f>IFERROR(C8/$B8,0)</x:f>
        <x:v>0.023809523809523808</x:v>
      </x:c>
      <x:c r="E8" s="20" t="n">
        <x:f>SUMIFS('03_PRODUCTS'!$E:$E,'03_PRODUCTS'!$A:$A,$A8,'03_PRODUCTS'!$C:$C,"예금")</x:f>
        <x:v>40500000</x:v>
      </x:c>
      <x:c r="F8" s="22" t="n">
        <x:f>IFERROR(E8/$B8,0)</x:f>
        <x:v>0.19285714285714287</x:v>
      </x:c>
      <x:c r="G8" s="20" t="n">
        <x:f>SUMIFS('03_PRODUCTS'!$E:$E,'03_PRODUCTS'!$A:$A,$A8,'03_PRODUCTS'!$C:$C,"GIC")</x:f>
        <x:v>30200000</x:v>
      </x:c>
      <x:c r="H8" s="22" t="n">
        <x:f>IFERROR(G8/$B8,0)</x:f>
        <x:v>0.1438095238095238</x:v>
      </x:c>
      <x:c r="I8" s="20" t="n">
        <x:f>SUMIFS('03_PRODUCTS'!$E:$E,'03_PRODUCTS'!$A:$A,$A8,'03_PRODUCTS'!$C:$C,"수익증권")</x:f>
        <x:v>79000000</x:v>
      </x:c>
      <x:c r="J8" s="22" t="n">
        <x:f>IFERROR(I8/$B8,0)</x:f>
        <x:v>0.3761904761904762</x:v>
      </x:c>
      <x:c r="K8" s="20" t="n">
        <x:f>SUMIFS('03_PRODUCTS'!$E:$E,'03_PRODUCTS'!$A:$A,$A8,'03_PRODUCTS'!$C:$C,"ETF")</x:f>
        <x:v>55300000</x:v>
      </x:c>
      <x:c r="L8" s="22" t="n">
        <x:f>IFERROR(K8/$B8,0)</x:f>
        <x:v>0.2633333333333333</x:v>
      </x:c>
      <x:c r="M8" s="20" t="n">
        <x:f>SUMIFS('03_PRODUCTS'!$E:$E,'03_PRODUCTS'!$A:$A,$A8,'03_PRODUCTS'!$C:$C,"기타")</x:f>
        <x:v>0</x:v>
      </x:c>
      <x:c r="N8" s="22" t="n">
        <x:f>IFERROR(M8/$B8,0)</x:f>
        <x:v>0</x:v>
      </x:c>
      <x:c r="O8" s="22" t="n">
        <x:f>IFERROR((I8+K8)/$B8,0)</x:f>
        <x:v>0.6395238095238095</x:v>
      </x:c>
      <x:c r="P8" s="22" t="n">
        <x:v>0.21600000000000003</x:v>
      </x:c>
      <x:c r="Q8" t="str">
        <x:v>Y</x:v>
      </x:c>
      <x:c r="R8" t="str">
        <x:v>저위험</x:v>
      </x:c>
    </x:row>
    <x:row r="9">
      <x:c r="A9" t="str">
        <x:v>193482-6012375</x:v>
      </x:c>
      <x:c r="B9" s="20" t="n">
        <x:f>SUMIFS('03_PRODUCTS'!$E:$E,'03_PRODUCTS'!$A:$A,$A9)</x:f>
        <x:v>165000000</x:v>
      </x:c>
      <x:c r="C9" s="20" t="n">
        <x:f>SUMIFS('03_PRODUCTS'!$E:$E,'03_PRODUCTS'!$A:$A,$A9,'03_PRODUCTS'!$C:$C,"고유계정대")</x:f>
        <x:v>8000000</x:v>
      </x:c>
      <x:c r="D9" s="22" t="n">
        <x:f>IFERROR(C9/$B9,0)</x:f>
        <x:v>0.048484848484848485</x:v>
      </x:c>
      <x:c r="E9" s="20" t="n">
        <x:f>SUMIFS('03_PRODUCTS'!$E:$E,'03_PRODUCTS'!$A:$A,$A9,'03_PRODUCTS'!$C:$C,"예금")</x:f>
        <x:v>70400000</x:v>
      </x:c>
      <x:c r="F9" s="22" t="n">
        <x:f>IFERROR(E9/$B9,0)</x:f>
        <x:v>0.4266666666666667</x:v>
      </x:c>
      <x:c r="G9" s="20" t="n">
        <x:f>SUMIFS('03_PRODUCTS'!$E:$E,'03_PRODUCTS'!$A:$A,$A9,'03_PRODUCTS'!$C:$C,"GIC")</x:f>
        <x:v>35500000</x:v>
      </x:c>
      <x:c r="H9" s="22" t="n">
        <x:f>IFERROR(G9/$B9,0)</x:f>
        <x:v>0.21515151515151515</x:v>
      </x:c>
      <x:c r="I9" s="20" t="n">
        <x:f>SUMIFS('03_PRODUCTS'!$E:$E,'03_PRODUCTS'!$A:$A,$A9,'03_PRODUCTS'!$C:$C,"수익증권")</x:f>
        <x:v>35100000</x:v>
      </x:c>
      <x:c r="J9" s="22" t="n">
        <x:f>IFERROR(I9/$B9,0)</x:f>
        <x:v>0.21272727272727274</x:v>
      </x:c>
      <x:c r="K9" s="20" t="n">
        <x:f>SUMIFS('03_PRODUCTS'!$E:$E,'03_PRODUCTS'!$A:$A,$A9,'03_PRODUCTS'!$C:$C,"ETF")</x:f>
        <x:v>16000000</x:v>
      </x:c>
      <x:c r="L9" s="22" t="n">
        <x:f>IFERROR(K9/$B9,0)</x:f>
        <x:v>0.09696969696969697</x:v>
      </x:c>
      <x:c r="M9" s="20" t="n">
        <x:f>SUMIFS('03_PRODUCTS'!$E:$E,'03_PRODUCTS'!$A:$A,$A9,'03_PRODUCTS'!$C:$C,"기타")</x:f>
        <x:v>0</x:v>
      </x:c>
      <x:c r="N9" s="22" t="n">
        <x:f>IFERROR(M9/$B9,0)</x:f>
        <x:v>0</x:v>
      </x:c>
      <x:c r="O9" s="22" t="n">
        <x:f>IFERROR((I9+K9)/$B9,0)</x:f>
        <x:v>0.3096969696969697</x:v>
      </x:c>
      <x:c r="P9" s="22" t="n">
        <x:v>0.062</x:v>
      </x:c>
      <x:c r="Q9" t="str">
        <x:v>N</x:v>
      </x:c>
      <x:c r="R9" t="str">
        <x:v>미설정</x:v>
      </x:c>
    </x:row>
    <x:row r="10">
      <x:c r="A10" t="str">
        <x:v>162754-9483106</x:v>
      </x:c>
      <x:c r="B10" s="20" t="n">
        <x:f>SUMIFS('03_PRODUCTS'!$E:$E,'03_PRODUCTS'!$A:$A,$A10)</x:f>
        <x:v>480000000</x:v>
      </x:c>
      <x:c r="C10" s="20" t="n">
        <x:f>SUMIFS('03_PRODUCTS'!$E:$E,'03_PRODUCTS'!$A:$A,$A10,'03_PRODUCTS'!$C:$C,"고유계정대")</x:f>
        <x:v>250000000</x:v>
      </x:c>
      <x:c r="D10" s="22" t="n">
        <x:f>IFERROR(C10/$B10,0)</x:f>
        <x:v>0.5208333333333334</x:v>
      </x:c>
      <x:c r="E10" s="20" t="n">
        <x:f>SUMIFS('03_PRODUCTS'!$E:$E,'03_PRODUCTS'!$A:$A,$A10,'03_PRODUCTS'!$C:$C,"예금")</x:f>
        <x:v>0</x:v>
      </x:c>
      <x:c r="F10" s="22" t="n">
        <x:f>IFERROR(E10/$B10,0)</x:f>
        <x:v>0</x:v>
      </x:c>
      <x:c r="G10" s="20" t="n">
        <x:f>SUMIFS('03_PRODUCTS'!$E:$E,'03_PRODUCTS'!$A:$A,$A10,'03_PRODUCTS'!$C:$C,"GIC")</x:f>
        <x:v>0</x:v>
      </x:c>
      <x:c r="H10" s="22" t="n">
        <x:f>IFERROR(G10/$B10,0)</x:f>
        <x:v>0</x:v>
      </x:c>
      <x:c r="I10" s="20" t="n">
        <x:f>SUMIFS('03_PRODUCTS'!$E:$E,'03_PRODUCTS'!$A:$A,$A10,'03_PRODUCTS'!$C:$C,"수익증권")</x:f>
        <x:v>83000000</x:v>
      </x:c>
      <x:c r="J10" s="22" t="n">
        <x:f>IFERROR(I10/$B10,0)</x:f>
        <x:v>0.17291666666666666</x:v>
      </x:c>
      <x:c r="K10" s="20" t="n">
        <x:f>SUMIFS('03_PRODUCTS'!$E:$E,'03_PRODUCTS'!$A:$A,$A10,'03_PRODUCTS'!$C:$C,"ETF")</x:f>
        <x:v>147000000</x:v>
      </x:c>
      <x:c r="L10" s="22" t="n">
        <x:f>IFERROR(K10/$B10,0)</x:f>
        <x:v>0.30625</x:v>
      </x:c>
      <x:c r="M10" s="20" t="n">
        <x:f>SUMIFS('03_PRODUCTS'!$E:$E,'03_PRODUCTS'!$A:$A,$A10,'03_PRODUCTS'!$C:$C,"기타")</x:f>
        <x:v>0</x:v>
      </x:c>
      <x:c r="N10" s="22" t="n">
        <x:f>IFERROR(M10/$B10,0)</x:f>
        <x:v>0</x:v>
      </x:c>
      <x:c r="O10" s="22" t="n">
        <x:f>IFERROR((I10+K10)/$B10,0)</x:f>
        <x:v>0.4791666666666667</x:v>
      </x:c>
      <x:c r="P10" s="22" t="n">
        <x:v>0.114</x:v>
      </x:c>
      <x:c r="Q10" t="str">
        <x:v>N</x:v>
      </x:c>
      <x:c r="R10" t="str">
        <x:v>미등록</x:v>
      </x:c>
    </x:row>
    <x:row r="11">
      <x:c r="A11" t="str">
        <x:v>188406-7352194</x:v>
      </x:c>
      <x:c r="B11" s="20" t="n">
        <x:f>SUMIFS('03_PRODUCTS'!$E:$E,'03_PRODUCTS'!$A:$A,$A11)</x:f>
        <x:v>520000000</x:v>
      </x:c>
      <x:c r="C11" s="20" t="n">
        <x:f>SUMIFS('03_PRODUCTS'!$E:$E,'03_PRODUCTS'!$A:$A,$A11,'03_PRODUCTS'!$C:$C,"고유계정대")</x:f>
        <x:v>280000000</x:v>
      </x:c>
      <x:c r="D11" s="22" t="n">
        <x:f>IFERROR(C11/$B11,0)</x:f>
        <x:v>0.5384615384615384</x:v>
      </x:c>
      <x:c r="E11" s="20" t="n">
        <x:f>SUMIFS('03_PRODUCTS'!$E:$E,'03_PRODUCTS'!$A:$A,$A11,'03_PRODUCTS'!$C:$C,"예금")</x:f>
        <x:v>0</x:v>
      </x:c>
      <x:c r="F11" s="22" t="n">
        <x:f>IFERROR(E11/$B11,0)</x:f>
        <x:v>0</x:v>
      </x:c>
      <x:c r="G11" s="20" t="n">
        <x:f>SUMIFS('03_PRODUCTS'!$E:$E,'03_PRODUCTS'!$A:$A,$A11,'03_PRODUCTS'!$C:$C,"GIC")</x:f>
        <x:v>0</x:v>
      </x:c>
      <x:c r="H11" s="22" t="n">
        <x:f>IFERROR(G11/$B11,0)</x:f>
        <x:v>0</x:v>
      </x:c>
      <x:c r="I11" s="20" t="n">
        <x:f>SUMIFS('03_PRODUCTS'!$E:$E,'03_PRODUCTS'!$A:$A,$A11,'03_PRODUCTS'!$C:$C,"수익증권")</x:f>
        <x:v>124000000</x:v>
      </x:c>
      <x:c r="J11" s="22" t="n">
        <x:f>IFERROR(I11/$B11,0)</x:f>
        <x:v>0.23846153846153847</x:v>
      </x:c>
      <x:c r="K11" s="20" t="n">
        <x:f>SUMIFS('03_PRODUCTS'!$E:$E,'03_PRODUCTS'!$A:$A,$A11,'03_PRODUCTS'!$C:$C,"ETF")</x:f>
        <x:v>116000000</x:v>
      </x:c>
      <x:c r="L11" s="22" t="n">
        <x:f>IFERROR(K11/$B11,0)</x:f>
        <x:v>0.2230769230769231</x:v>
      </x:c>
      <x:c r="M11" s="20" t="n">
        <x:f>SUMIFS('03_PRODUCTS'!$E:$E,'03_PRODUCTS'!$A:$A,$A11,'03_PRODUCTS'!$C:$C,"기타")</x:f>
        <x:v>0</x:v>
      </x:c>
      <x:c r="N11" s="22" t="n">
        <x:f>IFERROR(M11/$B11,0)</x:f>
        <x:v>0</x:v>
      </x:c>
      <x:c r="O11" s="22" t="n">
        <x:f>IFERROR((I11+K11)/$B11,0)</x:f>
        <x:v>0.46153846153846156</x:v>
      </x:c>
      <x:c r="P11" s="22" t="n">
        <x:v>0.326</x:v>
      </x:c>
      <x:c r="Q11" t="str">
        <x:v>N</x:v>
      </x:c>
      <x:c r="R11" t="str">
        <x:v>미등록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Q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.3799991607666" hidden="0" customWidth="1"/>
    <x:col min="2" max="2" width="28" hidden="0" customWidth="1"/>
    <x:col min="3" max="3" width="9.75" hidden="0" customWidth="1"/>
    <x:col min="4" max="4" width="11.630000114440918" hidden="0" customWidth="1"/>
    <x:col min="5" max="5" width="11.630000114440918" hidden="0" customWidth="1"/>
    <x:col min="6" max="6" width="12.5" hidden="0" customWidth="1"/>
    <x:col min="7" max="7" width="13.380000114440918" hidden="0" customWidth="1"/>
    <x:col min="8" max="8" width="6" hidden="0" customWidth="1"/>
    <x:col min="9" max="9" width="13.380000114440918" hidden="0" customWidth="1"/>
    <x:col min="10" max="10" width="13.380000114440918" hidden="0" customWidth="1"/>
    <x:col min="11" max="11" width="20" hidden="0" customWidth="1"/>
    <x:col min="12" max="12" width="7.880000114440918" hidden="0" customWidth="1"/>
    <x:col min="13" max="13" width="7.880000114440918" hidden="0" customWidth="1"/>
    <x:col min="14" max="14" width="11.5" hidden="0" customWidth="1"/>
  </x:cols>
  <x:sheetData>
    <x:row r="1" ht="24" customHeight="1">
      <x:c r="A1" s="5" t="str">
        <x:v>PRODUCTS[] — 보유상품 상세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KB-PIN</x:v>
      </x:c>
      <x:c r="B2" s="14" t="str">
        <x:v>상품명</x:v>
      </x:c>
      <x:c r="C2" s="14" t="str">
        <x:v>상품유형</x:v>
      </x:c>
      <x:c r="D2" s="14" t="str">
        <x:v>매입원금잔액</x:v>
      </x:c>
      <x:c r="E2" s="14" t="str">
        <x:v>평가금액</x:v>
      </x:c>
      <x:c r="F2" s="14" t="str">
        <x:v>최근1년수익률</x:v>
      </x:c>
      <x:c r="G2" s="14" t="str">
        <x:v>고객보유수익률</x:v>
      </x:c>
      <x:c r="H2" s="14" t="str">
        <x:v>PF비중</x:v>
      </x:c>
      <x:c r="I2" s="14" t="str">
        <x:v>약정신규년월일</x:v>
      </x:c>
      <x:c r="J2" s="14" t="str">
        <x:v>약정만기년월일</x:v>
      </x:c>
      <x:c r="K2" s="14" t="str">
        <x:v>퇴직연금상품위험등급구분코드</x:v>
      </x:c>
      <x:c r="L2" s="14" t="str">
        <x:v>적용금리</x:v>
      </x:c>
      <x:c r="M2" s="14" t="str">
        <x:v>판매상태</x:v>
      </x:c>
      <x:c r="N2" s="14" t="str">
        <x:v>판매중단여부</x:v>
      </x:c>
    </x:row>
    <x:row r="3">
      <x:c r="A3" t="str">
        <x:v>173544-2074623</x:v>
      </x:c>
      <x:c r="B3" t="str">
        <x:v>고유계정대</x:v>
      </x:c>
      <x:c r="C3" t="str">
        <x:v>고유계정대</x:v>
      </x:c>
      <x:c r="D3" s="20" t="n">
        <x:v>6000000</x:v>
      </x:c>
      <x:c r="E3" s="20" t="n">
        <x:v>6000000</x:v>
      </x:c>
      <x:c r="F3" s="22"/>
      <x:c r="G3" s="22" t="n">
        <x:v>0</x:v>
      </x:c>
      <x:c r="H3" s="22" t="n">
        <x:v>0.75</x:v>
      </x:c>
      <x:c r="I3" s="24" t="n">
        <x:v>45597</x:v>
      </x:c>
      <x:c r="J3" s="24"/>
      <x:c r="K3" t="str">
        <x:v>매우낮은위험</x:v>
      </x:c>
      <x:c r="L3" s="26"/>
      <x:c r="M3" t="str">
        <x:v>정상</x:v>
      </x:c>
      <x:c r="N3" t="str">
        <x:v>N</x:v>
      </x:c>
    </x:row>
    <x:row r="4">
      <x:c r="A4" t="str">
        <x:v>173544-2074623</x:v>
      </x:c>
      <x:c r="B4" t="str">
        <x:v>신한은행 퇴직연금 정기예금 1년</x:v>
      </x:c>
      <x:c r="C4" t="str">
        <x:v>예금</x:v>
      </x:c>
      <x:c r="D4" s="20" t="n">
        <x:v>1200000</x:v>
      </x:c>
      <x:c r="E4" s="20" t="n">
        <x:v>1200000</x:v>
      </x:c>
      <x:c r="F4" s="22"/>
      <x:c r="G4" s="22" t="n">
        <x:v>0.012</x:v>
      </x:c>
      <x:c r="H4" s="22" t="n">
        <x:v>0.15</x:v>
      </x:c>
      <x:c r="I4" s="24" t="n">
        <x:v>46034</x:v>
      </x:c>
      <x:c r="J4" s="24" t="n">
        <x:v>46399</x:v>
      </x:c>
      <x:c r="K4" t="str">
        <x:v>매우낮은위험</x:v>
      </x:c>
      <x:c r="L4" s="26" t="n">
        <x:v>0.03</x:v>
      </x:c>
      <x:c r="M4" t="str">
        <x:v>정상</x:v>
      </x:c>
      <x:c r="N4" t="str">
        <x:v>N</x:v>
      </x:c>
    </x:row>
    <x:row r="5">
      <x:c r="A5" t="str">
        <x:v>173544-2074623</x:v>
      </x:c>
      <x:c r="B5" t="str">
        <x:v>키움 더드림 단기채 (채권)</x:v>
      </x:c>
      <x:c r="C5" t="str">
        <x:v>수익증권</x:v>
      </x:c>
      <x:c r="D5" s="20" t="n">
        <x:v>800000</x:v>
      </x:c>
      <x:c r="E5" s="20" t="n">
        <x:v>800000</x:v>
      </x:c>
      <x:c r="F5" s="22" t="n">
        <x:v>-0.057999999999999996</x:v>
      </x:c>
      <x:c r="G5" s="22" t="n">
        <x:v>-0.064</x:v>
      </x:c>
      <x:c r="H5" s="22" t="n">
        <x:v>0.1</x:v>
      </x:c>
      <x:c r="I5" s="24" t="n">
        <x:v>45950</x:v>
      </x:c>
      <x:c r="J5" s="24"/>
      <x:c r="K5" t="str">
        <x:v>매우낮은위험</x:v>
      </x:c>
      <x:c r="L5" s="26"/>
      <x:c r="M5" t="str">
        <x:v>판매중</x:v>
      </x:c>
      <x:c r="N5" t="str">
        <x:v>N</x:v>
      </x:c>
    </x:row>
    <x:row r="6">
      <x:c r="A6" t="str">
        <x:v>154821-4938201</x:v>
      </x:c>
      <x:c r="B6" t="str">
        <x:v>고유계정대</x:v>
      </x:c>
      <x:c r="C6" t="str">
        <x:v>고유계정대</x:v>
      </x:c>
      <x:c r="D6" s="20" t="n">
        <x:v>1000000</x:v>
      </x:c>
      <x:c r="E6" s="20" t="n">
        <x:v>1000000</x:v>
      </x:c>
      <x:c r="F6" s="22"/>
      <x:c r="G6" s="22" t="n">
        <x:v>0</x:v>
      </x:c>
      <x:c r="H6" s="22" t="n">
        <x:v>0.03125</x:v>
      </x:c>
      <x:c r="I6" s="24" t="n">
        <x:v>44722</x:v>
      </x:c>
      <x:c r="J6" s="24"/>
      <x:c r="K6" t="str">
        <x:v>매우낮은위험</x:v>
      </x:c>
      <x:c r="L6" s="26"/>
      <x:c r="M6" t="str">
        <x:v>정상</x:v>
      </x:c>
      <x:c r="N6" t="str">
        <x:v>N</x:v>
      </x:c>
    </x:row>
    <x:row r="7">
      <x:c r="A7" t="str">
        <x:v>154821-4938201</x:v>
      </x:c>
      <x:c r="B7" t="str">
        <x:v>하나은행 퇴직연금 정기예금 1년</x:v>
      </x:c>
      <x:c r="C7" t="str">
        <x:v>예금</x:v>
      </x:c>
      <x:c r="D7" s="20" t="n">
        <x:v>7000000</x:v>
      </x:c>
      <x:c r="E7" s="20" t="n">
        <x:v>7000000</x:v>
      </x:c>
      <x:c r="F7" s="22"/>
      <x:c r="G7" s="22" t="n">
        <x:v>0.028999999999999998</x:v>
      </x:c>
      <x:c r="H7" s="22" t="n">
        <x:v>0.21875</x:v>
      </x:c>
      <x:c r="I7" s="24" t="n">
        <x:v>46054</x:v>
      </x:c>
      <x:c r="J7" s="24" t="n">
        <x:v>46419</x:v>
      </x:c>
      <x:c r="K7" t="str">
        <x:v>매우낮은위험</x:v>
      </x:c>
      <x:c r="L7" s="26" t="n">
        <x:v>0.032</x:v>
      </x:c>
      <x:c r="M7" t="str">
        <x:v>정상</x:v>
      </x:c>
      <x:c r="N7" t="str">
        <x:v>N</x:v>
      </x:c>
    </x:row>
    <x:row r="8">
      <x:c r="A8" t="str">
        <x:v>154821-4938201</x:v>
      </x:c>
      <x:c r="B8" t="str">
        <x:v>KB 온국민 TDF 시리즈</x:v>
      </x:c>
      <x:c r="C8" t="str">
        <x:v>수익증권</x:v>
      </x:c>
      <x:c r="D8" s="20" t="n">
        <x:v>12000000</x:v>
      </x:c>
      <x:c r="E8" s="20" t="n">
        <x:v>14800000</x:v>
      </x:c>
      <x:c r="F8" s="22" t="n">
        <x:v>0.225</x:v>
      </x:c>
      <x:c r="G8" s="22" t="n">
        <x:v>0.233</x:v>
      </x:c>
      <x:c r="H8" s="22" t="n">
        <x:v>0.4625</x:v>
      </x:c>
      <x:c r="I8" s="24" t="n">
        <x:v>45761</x:v>
      </x:c>
      <x:c r="J8" s="24"/>
      <x:c r="K8" t="str">
        <x:v>다소높은위험</x:v>
      </x:c>
      <x:c r="L8" s="26"/>
      <x:c r="M8" t="str">
        <x:v>판매중</x:v>
      </x:c>
      <x:c r="N8" t="str">
        <x:v>N</x:v>
      </x:c>
    </x:row>
    <x:row r="9">
      <x:c r="A9" t="str">
        <x:v>154821-4938201</x:v>
      </x:c>
      <x:c r="B9" t="str">
        <x:v>RISE 미국S&amp;P500 ETF</x:v>
      </x:c>
      <x:c r="C9" t="str">
        <x:v>ETF</x:v>
      </x:c>
      <x:c r="D9" s="20" t="n">
        <x:v>8000000</x:v>
      </x:c>
      <x:c r="E9" s="20" t="n">
        <x:v>9200000</x:v>
      </x:c>
      <x:c r="F9" s="22" t="n">
        <x:v>0.298</x:v>
      </x:c>
      <x:c r="G9" s="22" t="n">
        <x:v>0.15</x:v>
      </x:c>
      <x:c r="H9" s="22" t="n">
        <x:v>0.2875</x:v>
      </x:c>
      <x:c r="I9" s="24" t="n">
        <x:v>46030</x:v>
      </x:c>
      <x:c r="J9" s="24"/>
      <x:c r="K9" t="str">
        <x:v>매우높은위험</x:v>
      </x:c>
      <x:c r="L9" s="26"/>
      <x:c r="M9" t="str">
        <x:v>판매중</x:v>
      </x:c>
      <x:c r="N9" t="str">
        <x:v>N</x:v>
      </x:c>
    </x:row>
    <x:row r="10">
      <x:c r="A10" t="str">
        <x:v>198734-1205842</x:v>
      </x:c>
      <x:c r="B10" t="str">
        <x:v>고유계정대</x:v>
      </x:c>
      <x:c r="C10" t="str">
        <x:v>고유계정대</x:v>
      </x:c>
      <x:c r="D10" s="20" t="n">
        <x:v>5000000</x:v>
      </x:c>
      <x:c r="E10" s="20" t="n">
        <x:v>5000000</x:v>
      </x:c>
      <x:c r="F10" s="22"/>
      <x:c r="G10" s="22" t="n">
        <x:v>0</x:v>
      </x:c>
      <x:c r="H10" s="22" t="n">
        <x:v>0.04</x:v>
      </x:c>
      <x:c r="I10" s="24" t="n">
        <x:v>43892</x:v>
      </x:c>
      <x:c r="J10" s="24"/>
      <x:c r="K10" t="str">
        <x:v>매우낮은위험</x:v>
      </x:c>
      <x:c r="L10" s="26"/>
      <x:c r="M10" t="str">
        <x:v>정상</x:v>
      </x:c>
      <x:c r="N10" t="str">
        <x:v>N</x:v>
      </x:c>
    </x:row>
    <x:row r="11">
      <x:c r="A11" t="str">
        <x:v>198734-1205842</x:v>
      </x:c>
      <x:c r="B11" t="str">
        <x:v>기업은행 퇴직연금 정기예금 1년</x:v>
      </x:c>
      <x:c r="C11" t="str">
        <x:v>예금</x:v>
      </x:c>
      <x:c r="D11" s="20" t="n">
        <x:v>40000000</x:v>
      </x:c>
      <x:c r="E11" s="20" t="n">
        <x:v>40500000</x:v>
      </x:c>
      <x:c r="F11" s="22"/>
      <x:c r="G11" s="22" t="n">
        <x:v>0.026000000000000002</x:v>
      </x:c>
      <x:c r="H11" s="22" t="n">
        <x:v>0.324</x:v>
      </x:c>
      <x:c r="I11" s="24" t="n">
        <x:v>45910</x:v>
      </x:c>
      <x:c r="J11" s="24" t="n">
        <x:v>46275</x:v>
      </x:c>
      <x:c r="K11" t="str">
        <x:v>매우낮은위험</x:v>
      </x:c>
      <x:c r="L11" s="26" t="n">
        <x:v>0.027999999999999997</x:v>
      </x:c>
      <x:c r="M11" t="str">
        <x:v>정상</x:v>
      </x:c>
      <x:c r="N11" t="str">
        <x:v>N</x:v>
      </x:c>
    </x:row>
    <x:row r="12">
      <x:c r="A12" t="str">
        <x:v>198734-1205842</x:v>
      </x:c>
      <x:c r="B12" t="str">
        <x:v>에셋플러스 글로벌 리치투게더 (주식)</x:v>
      </x:c>
      <x:c r="C12" t="str">
        <x:v>수익증권</x:v>
      </x:c>
      <x:c r="D12" s="20" t="n">
        <x:v>40000000</x:v>
      </x:c>
      <x:c r="E12" s="20" t="n">
        <x:v>48000000</x:v>
      </x:c>
      <x:c r="F12" s="22" t="n">
        <x:v>0.184</x:v>
      </x:c>
      <x:c r="G12" s="22" t="n">
        <x:v>0.2</x:v>
      </x:c>
      <x:c r="H12" s="22" t="n">
        <x:v>0.384</x:v>
      </x:c>
      <x:c r="I12" s="24" t="n">
        <x:v>45509</x:v>
      </x:c>
      <x:c r="J12" s="24"/>
      <x:c r="K12" t="str">
        <x:v>다소높은위험</x:v>
      </x:c>
      <x:c r="L12" s="26"/>
      <x:c r="M12" t="str">
        <x:v>판매중</x:v>
      </x:c>
      <x:c r="N12" t="str">
        <x:v>N</x:v>
      </x:c>
    </x:row>
    <x:row r="13">
      <x:c r="A13" t="str">
        <x:v>198734-1205842</x:v>
      </x:c>
      <x:c r="B13" t="str">
        <x:v>RISE 미국나스닥100 ETF</x:v>
      </x:c>
      <x:c r="C13" t="str">
        <x:v>ETF</x:v>
      </x:c>
      <x:c r="D13" s="20" t="n">
        <x:v>25000000</x:v>
      </x:c>
      <x:c r="E13" s="20" t="n">
        <x:v>31500000</x:v>
      </x:c>
      <x:c r="F13" s="22" t="n">
        <x:v>0.27</x:v>
      </x:c>
      <x:c r="G13" s="22" t="n">
        <x:v>0.26</x:v>
      </x:c>
      <x:c r="H13" s="22" t="n">
        <x:v>0.252</x:v>
      </x:c>
      <x:c r="I13" s="24" t="n">
        <x:v>45695</x:v>
      </x:c>
      <x:c r="J13" s="24"/>
      <x:c r="K13" t="str">
        <x:v>매우높은위험</x:v>
      </x:c>
      <x:c r="L13" s="26"/>
      <x:c r="M13" t="str">
        <x:v>판매중</x:v>
      </x:c>
      <x:c r="N13" t="str">
        <x:v>N</x:v>
      </x:c>
    </x:row>
    <x:row r="14">
      <x:c r="A14" t="str">
        <x:v>165932-8741205</x:v>
      </x:c>
      <x:c r="B14" t="str">
        <x:v>고유계정대</x:v>
      </x:c>
      <x:c r="C14" t="str">
        <x:v>고유계정대</x:v>
      </x:c>
      <x:c r="D14" s="20" t="n">
        <x:v>3000000</x:v>
      </x:c>
      <x:c r="E14" s="20" t="n">
        <x:v>3000000</x:v>
      </x:c>
      <x:c r="F14" s="22"/>
      <x:c r="G14" s="22" t="n">
        <x:v>0</x:v>
      </x:c>
      <x:c r="H14" s="22" t="n">
        <x:v>0.05172413793103448</x:v>
      </x:c>
      <x:c r="I14" s="24" t="n">
        <x:v>43717</x:v>
      </x:c>
      <x:c r="J14" s="24"/>
      <x:c r="K14" t="str">
        <x:v>매우낮은위험</x:v>
      </x:c>
      <x:c r="L14" s="26"/>
      <x:c r="M14" t="str">
        <x:v>정상</x:v>
      </x:c>
      <x:c r="N14" t="str">
        <x:v>N</x:v>
      </x:c>
    </x:row>
    <x:row r="15">
      <x:c r="A15" t="str">
        <x:v>165932-8741205</x:v>
      </x:c>
      <x:c r="B15" t="str">
        <x:v>SBI저축은행 퇴직연금 정기예금 1년</x:v>
      </x:c>
      <x:c r="C15" t="str">
        <x:v>예금</x:v>
      </x:c>
      <x:c r="D15" s="20" t="n">
        <x:v>18000000</x:v>
      </x:c>
      <x:c r="E15" s="20" t="n">
        <x:v>18000000</x:v>
      </x:c>
      <x:c r="F15" s="22"/>
      <x:c r="G15" s="22" t="n">
        <x:v>0.027000000000000003</x:v>
      </x:c>
      <x:c r="H15" s="22" t="n">
        <x:v>0.3103448275862069</x:v>
      </x:c>
      <x:c r="I15" s="24" t="n">
        <x:v>46096</x:v>
      </x:c>
      <x:c r="J15" s="24" t="n">
        <x:v>46461</x:v>
      </x:c>
      <x:c r="K15" t="str">
        <x:v>매우낮은위험</x:v>
      </x:c>
      <x:c r="L15" s="26" t="n">
        <x:v>0.031</x:v>
      </x:c>
      <x:c r="M15" t="str">
        <x:v>정상</x:v>
      </x:c>
      <x:c r="N15" t="str">
        <x:v>N</x:v>
      </x:c>
    </x:row>
    <x:row r="16">
      <x:c r="A16" t="str">
        <x:v>165932-8741205</x:v>
      </x:c>
      <x:c r="B16" t="str">
        <x:v>KB 코리아밸류업액티브 (주식)</x:v>
      </x:c>
      <x:c r="C16" t="str">
        <x:v>수익증권</x:v>
      </x:c>
      <x:c r="D16" s="20" t="n">
        <x:v>15000000</x:v>
      </x:c>
      <x:c r="E16" s="20" t="n">
        <x:v>9200000</x:v>
      </x:c>
      <x:c r="F16" s="22" t="n">
        <x:v>-0.285</x:v>
      </x:c>
      <x:c r="G16" s="22" t="n">
        <x:v>-0.387</x:v>
      </x:c>
      <x:c r="H16" s="22" t="n">
        <x:v>0.15862068965517243</x:v>
      </x:c>
      <x:c r="I16" s="24" t="n">
        <x:v>44508</x:v>
      </x:c>
      <x:c r="J16" s="24"/>
      <x:c r="K16" t="str">
        <x:v>높은위험</x:v>
      </x:c>
      <x:c r="L16" s="26"/>
      <x:c r="M16" t="str">
        <x:v>판매중단</x:v>
      </x:c>
      <x:c r="N16" t="str">
        <x:v>Y</x:v>
      </x:c>
    </x:row>
    <x:row r="17">
      <x:c r="A17" t="str">
        <x:v>165932-8741205</x:v>
      </x:c>
      <x:c r="B17" t="str">
        <x:v>삼성 EMP 리얼리턴(UH) (주식혼합-재간접)</x:v>
      </x:c>
      <x:c r="C17" t="str">
        <x:v>수익증권</x:v>
      </x:c>
      <x:c r="D17" s="20" t="n">
        <x:v>14000000</x:v>
      </x:c>
      <x:c r="E17" s="20" t="n">
        <x:v>15300000</x:v>
      </x:c>
      <x:c r="F17" s="22" t="n">
        <x:v>0.084</x:v>
      </x:c>
      <x:c r="G17" s="22" t="n">
        <x:v>0.09300000000000001</x:v>
      </x:c>
      <x:c r="H17" s="22" t="n">
        <x:v>0.2637931034482759</x:v>
      </x:c>
      <x:c r="I17" s="24" t="n">
        <x:v>45447</x:v>
      </x:c>
      <x:c r="J17" s="24"/>
      <x:c r="K17" t="str">
        <x:v>보통위험</x:v>
      </x:c>
      <x:c r="L17" s="26"/>
      <x:c r="M17" t="str">
        <x:v>판매중</x:v>
      </x:c>
      <x:c r="N17" t="str">
        <x:v>N</x:v>
      </x:c>
    </x:row>
    <x:row r="18">
      <x:c r="A18" t="str">
        <x:v>165932-8741205</x:v>
      </x:c>
      <x:c r="B18" t="str">
        <x:v>RISE KRX300 ETF</x:v>
      </x:c>
      <x:c r="C18" t="str">
        <x:v>ETF</x:v>
      </x:c>
      <x:c r="D18" s="20" t="n">
        <x:v>10000000</x:v>
      </x:c>
      <x:c r="E18" s="20" t="n">
        <x:v>12500000</x:v>
      </x:c>
      <x:c r="F18" s="22" t="n">
        <x:v>0.212</x:v>
      </x:c>
      <x:c r="G18" s="22" t="n">
        <x:v>0.25</x:v>
      </x:c>
      <x:c r="H18" s="22" t="n">
        <x:v>0.21551724137931033</x:v>
      </x:c>
      <x:c r="I18" s="24" t="n">
        <x:v>45887</x:v>
      </x:c>
      <x:c r="J18" s="24"/>
      <x:c r="K18" t="str">
        <x:v>매우높은위험</x:v>
      </x:c>
      <x:c r="L18" s="26"/>
      <x:c r="M18" t="str">
        <x:v>판매중</x:v>
      </x:c>
      <x:c r="N18" t="str">
        <x:v>N</x:v>
      </x:c>
    </x:row>
    <x:row r="19">
      <x:c r="A19" t="str">
        <x:v>181245-3097614</x:v>
      </x:c>
      <x:c r="B19" t="str">
        <x:v>고유계정대</x:v>
      </x:c>
      <x:c r="C19" t="str">
        <x:v>고유계정대</x:v>
      </x:c>
      <x:c r="D19" s="20" t="n">
        <x:v>20000000</x:v>
      </x:c>
      <x:c r="E19" s="20" t="n">
        <x:v>20000000</x:v>
      </x:c>
      <x:c r="F19" s="22"/>
      <x:c r="G19" s="22" t="n">
        <x:v>0</x:v>
      </x:c>
      <x:c r="H19" s="22" t="n">
        <x:v>0.07692307692307693</x:v>
      </x:c>
      <x:c r="I19" s="24" t="n">
        <x:v>42828</x:v>
      </x:c>
      <x:c r="J19" s="24"/>
      <x:c r="K19" t="str">
        <x:v>매우낮은위험</x:v>
      </x:c>
      <x:c r="L19" s="26"/>
      <x:c r="M19" t="str">
        <x:v>정상</x:v>
      </x:c>
      <x:c r="N19" t="str">
        <x:v>N</x:v>
      </x:c>
    </x:row>
    <x:row r="20">
      <x:c r="A20" t="str">
        <x:v>181245-3097614</x:v>
      </x:c>
      <x:c r="B20" t="str">
        <x:v>신한은행 퇴직연금 정기예금 1년</x:v>
      </x:c>
      <x:c r="C20" t="str">
        <x:v>예금</x:v>
      </x:c>
      <x:c r="D20" s="20" t="n">
        <x:v>160000000</x:v>
      </x:c>
      <x:c r="E20" s="20" t="n">
        <x:v>161000000</x:v>
      </x:c>
      <x:c r="F20" s="22"/>
      <x:c r="G20" s="22" t="n">
        <x:v>0.024</x:v>
      </x:c>
      <x:c r="H20" s="22" t="n">
        <x:v>0.6192307692307693</x:v>
      </x:c>
      <x:c r="I20" s="24" t="n">
        <x:v>46027</x:v>
      </x:c>
      <x:c r="J20" s="24" t="n">
        <x:v>46392</x:v>
      </x:c>
      <x:c r="K20" t="str">
        <x:v>매우낮은위험</x:v>
      </x:c>
      <x:c r="L20" s="26" t="n">
        <x:v>0.028999999999999998</x:v>
      </x:c>
      <x:c r="M20" t="str">
        <x:v>정상</x:v>
      </x:c>
      <x:c r="N20" t="str">
        <x:v>N</x:v>
      </x:c>
    </x:row>
    <x:row r="21">
      <x:c r="A21" t="str">
        <x:v>181245-3097614</x:v>
      </x:c>
      <x:c r="B21" t="str">
        <x:v>하나은행 퇴직연금 정기예금 1년</x:v>
      </x:c>
      <x:c r="C21" t="str">
        <x:v>예금</x:v>
      </x:c>
      <x:c r="D21" s="20" t="n">
        <x:v>79000000</x:v>
      </x:c>
      <x:c r="E21" s="20" t="n">
        <x:v>79000000</x:v>
      </x:c>
      <x:c r="F21" s="22"/>
      <x:c r="G21" s="22" t="n">
        <x:v>0.022000000000000002</x:v>
      </x:c>
      <x:c r="H21" s="22" t="n">
        <x:v>0.3038461538461538</x:v>
      </x:c>
      <x:c r="I21" s="24" t="n">
        <x:v>46054</x:v>
      </x:c>
      <x:c r="J21" s="24" t="n">
        <x:v>46419</x:v>
      </x:c>
      <x:c r="K21" t="str">
        <x:v>매우낮은위험</x:v>
      </x:c>
      <x:c r="L21" s="26" t="n">
        <x:v>0.027000000000000003</x:v>
      </x:c>
      <x:c r="M21" t="str">
        <x:v>정상</x:v>
      </x:c>
      <x:c r="N21" t="str">
        <x:v>N</x:v>
      </x:c>
    </x:row>
    <x:row r="22">
      <x:c r="A22" t="str">
        <x:v>176903-5528417</x:v>
      </x:c>
      <x:c r="B22" t="str">
        <x:v>고유계정대</x:v>
      </x:c>
      <x:c r="C22" t="str">
        <x:v>고유계정대</x:v>
      </x:c>
      <x:c r="D22" s="20" t="n">
        <x:v>5000000</x:v>
      </x:c>
      <x:c r="E22" s="20" t="n">
        <x:v>5000000</x:v>
      </x:c>
      <x:c r="F22" s="22"/>
      <x:c r="G22" s="22" t="n">
        <x:v>0</x:v>
      </x:c>
      <x:c r="H22" s="22" t="n">
        <x:v>0.023809523809523808</x:v>
      </x:c>
      <x:c r="I22" s="24" t="n">
        <x:v>45356</x:v>
      </x:c>
      <x:c r="J22" s="24"/>
      <x:c r="K22" t="str">
        <x:v>매우낮은위험</x:v>
      </x:c>
      <x:c r="L22" s="26"/>
      <x:c r="M22" t="str">
        <x:v>정상</x:v>
      </x:c>
      <x:c r="N22" t="str">
        <x:v>N</x:v>
      </x:c>
    </x:row>
    <x:row r="23">
      <x:c r="A23" t="str">
        <x:v>176903-5528417</x:v>
      </x:c>
      <x:c r="B23" t="str">
        <x:v>기업은행 퇴직연금 정기예금 1년</x:v>
      </x:c>
      <x:c r="C23" t="str">
        <x:v>예금</x:v>
      </x:c>
      <x:c r="D23" s="20" t="n">
        <x:v>40000000</x:v>
      </x:c>
      <x:c r="E23" s="20" t="n">
        <x:v>40500000</x:v>
      </x:c>
      <x:c r="F23" s="22"/>
      <x:c r="G23" s="22" t="n">
        <x:v>0.028999999999999998</x:v>
      </x:c>
      <x:c r="H23" s="22" t="n">
        <x:v>0.19285714285714287</x:v>
      </x:c>
      <x:c r="I23" s="24" t="n">
        <x:v>46114</x:v>
      </x:c>
      <x:c r="J23" s="24" t="n">
        <x:v>46479</x:v>
      </x:c>
      <x:c r="K23" t="str">
        <x:v>매우낮은위험</x:v>
      </x:c>
      <x:c r="L23" s="26" t="n">
        <x:v>0.032</x:v>
      </x:c>
      <x:c r="M23" t="str">
        <x:v>정상</x:v>
      </x:c>
      <x:c r="N23" t="str">
        <x:v>N</x:v>
      </x:c>
    </x:row>
    <x:row r="24">
      <x:c r="A24" t="str">
        <x:v>176903-5528417</x:v>
      </x:c>
      <x:c r="B24" t="str">
        <x:v>KB라이프생명 퇴직연금 디폴트옵션 이율보증형보험(3년)</x:v>
      </x:c>
      <x:c r="C24" t="str">
        <x:v>GIC</x:v>
      </x:c>
      <x:c r="D24" s="20" t="n">
        <x:v>30000000</x:v>
      </x:c>
      <x:c r="E24" s="20" t="n">
        <x:v>30200000</x:v>
      </x:c>
      <x:c r="F24" s="22"/>
      <x:c r="G24" s="22" t="n">
        <x:v>0.031</x:v>
      </x:c>
      <x:c r="H24" s="22" t="n">
        <x:v>0.1438095238095238</x:v>
      </x:c>
      <x:c r="I24" s="24" t="n">
        <x:v>46067</x:v>
      </x:c>
      <x:c r="J24" s="24" t="n">
        <x:v>46432</x:v>
      </x:c>
      <x:c r="K24" t="str">
        <x:v>매우낮은위험</x:v>
      </x:c>
      <x:c r="L24" s="26" t="n">
        <x:v>0.033</x:v>
      </x:c>
      <x:c r="M24" t="str">
        <x:v>정상</x:v>
      </x:c>
      <x:c r="N24" t="str">
        <x:v>N</x:v>
      </x:c>
    </x:row>
    <x:row r="25">
      <x:c r="A25" t="str">
        <x:v>176903-5528417</x:v>
      </x:c>
      <x:c r="B25" t="str">
        <x:v>피델리티 글로벌 테크놀로지 (주식-재간접)</x:v>
      </x:c>
      <x:c r="C25" t="str">
        <x:v>수익증권</x:v>
      </x:c>
      <x:c r="D25" s="20" t="n">
        <x:v>60000000</x:v>
      </x:c>
      <x:c r="E25" s="20" t="n">
        <x:v>79000000</x:v>
      </x:c>
      <x:c r="F25" s="22" t="n">
        <x:v>0.354</x:v>
      </x:c>
      <x:c r="G25" s="22" t="n">
        <x:v>0.317</x:v>
      </x:c>
      <x:c r="H25" s="22" t="n">
        <x:v>0.3761904761904762</x:v>
      </x:c>
      <x:c r="I25" s="24" t="n">
        <x:v>45798</x:v>
      </x:c>
      <x:c r="J25" s="24"/>
      <x:c r="K25" t="str">
        <x:v>높은위험</x:v>
      </x:c>
      <x:c r="L25" s="26"/>
      <x:c r="M25" t="str">
        <x:v>판매중</x:v>
      </x:c>
      <x:c r="N25" t="str">
        <x:v>N</x:v>
      </x:c>
    </x:row>
    <x:row r="26">
      <x:c r="A26" t="str">
        <x:v>176903-5528417</x:v>
      </x:c>
      <x:c r="B26" t="str">
        <x:v>RISE 미국S&amp;P500 ETF</x:v>
      </x:c>
      <x:c r="C26" t="str">
        <x:v>ETF</x:v>
      </x:c>
      <x:c r="D26" s="20" t="n">
        <x:v>45000000</x:v>
      </x:c>
      <x:c r="E26" s="20" t="n">
        <x:v>55300000</x:v>
      </x:c>
      <x:c r="F26" s="22" t="n">
        <x:v>0.278</x:v>
      </x:c>
      <x:c r="G26" s="22" t="n">
        <x:v>0.22899999999999998</x:v>
      </x:c>
      <x:c r="H26" s="22" t="n">
        <x:v>0.2633333333333333</x:v>
      </x:c>
      <x:c r="I26" s="24" t="n">
        <x:v>45903</x:v>
      </x:c>
      <x:c r="J26" s="24"/>
      <x:c r="K26" t="str">
        <x:v>매우높은위험</x:v>
      </x:c>
      <x:c r="L26" s="26"/>
      <x:c r="M26" t="str">
        <x:v>판매중</x:v>
      </x:c>
      <x:c r="N26" t="str">
        <x:v>N</x:v>
      </x:c>
    </x:row>
    <x:row r="27">
      <x:c r="A27" t="str">
        <x:v>193482-6012375</x:v>
      </x:c>
      <x:c r="B27" t="str">
        <x:v>고유계정대</x:v>
      </x:c>
      <x:c r="C27" t="str">
        <x:v>고유계정대</x:v>
      </x:c>
      <x:c r="D27" s="20" t="n">
        <x:v>8000000</x:v>
      </x:c>
      <x:c r="E27" s="20" t="n">
        <x:v>8000000</x:v>
      </x:c>
      <x:c r="F27" s="22"/>
      <x:c r="G27" s="22" t="n">
        <x:v>0</x:v>
      </x:c>
      <x:c r="H27" s="22" t="n">
        <x:v>0.048484848484848485</x:v>
      </x:c>
      <x:c r="I27" s="24" t="n">
        <x:v>43150</x:v>
      </x:c>
      <x:c r="J27" s="24"/>
      <x:c r="K27" t="str">
        <x:v>매우낮은위험</x:v>
      </x:c>
      <x:c r="L27" s="26"/>
      <x:c r="M27" t="str">
        <x:v>정상</x:v>
      </x:c>
      <x:c r="N27" t="str">
        <x:v>N</x:v>
      </x:c>
    </x:row>
    <x:row r="28">
      <x:c r="A28" t="str">
        <x:v>193482-6012375</x:v>
      </x:c>
      <x:c r="B28" t="str">
        <x:v>SBI저축은행 퇴직연금 정기예금 1년</x:v>
      </x:c>
      <x:c r="C28" t="str">
        <x:v>예금</x:v>
      </x:c>
      <x:c r="D28" s="20" t="n">
        <x:v>70000000</x:v>
      </x:c>
      <x:c r="E28" s="20" t="n">
        <x:v>70400000</x:v>
      </x:c>
      <x:c r="F28" s="22"/>
      <x:c r="G28" s="22" t="n">
        <x:v>0.027999999999999997</x:v>
      </x:c>
      <x:c r="H28" s="22" t="n">
        <x:v>0.4266666666666667</x:v>
      </x:c>
      <x:c r="I28" s="24" t="n">
        <x:v>45939</x:v>
      </x:c>
      <x:c r="J28" s="24" t="n">
        <x:v>46304</x:v>
      </x:c>
      <x:c r="K28" t="str">
        <x:v>매우낮은위험</x:v>
      </x:c>
      <x:c r="L28" s="26" t="n">
        <x:v>0.03</x:v>
      </x:c>
      <x:c r="M28" t="str">
        <x:v>정상</x:v>
      </x:c>
      <x:c r="N28" t="str">
        <x:v>N</x:v>
      </x:c>
    </x:row>
    <x:row r="29">
      <x:c r="A29" t="str">
        <x:v>193482-6012375</x:v>
      </x:c>
      <x:c r="B29" t="str">
        <x:v>KB라이프생명 퇴직연금 이율보증형보험(3년)</x:v>
      </x:c>
      <x:c r="C29" t="str">
        <x:v>GIC</x:v>
      </x:c>
      <x:c r="D29" s="20" t="n">
        <x:v>35000000</x:v>
      </x:c>
      <x:c r="E29" s="20" t="n">
        <x:v>35500000</x:v>
      </x:c>
      <x:c r="F29" s="22"/>
      <x:c r="G29" s="22" t="n">
        <x:v>0.03</x:v>
      </x:c>
      <x:c r="H29" s="22" t="n">
        <x:v>0.21515151515151515</x:v>
      </x:c>
      <x:c r="I29" s="24" t="n">
        <x:v>46032</x:v>
      </x:c>
      <x:c r="J29" s="24" t="n">
        <x:v>46397</x:v>
      </x:c>
      <x:c r="K29" t="str">
        <x:v>매우낮은위험</x:v>
      </x:c>
      <x:c r="L29" s="26" t="n">
        <x:v>0.032</x:v>
      </x:c>
      <x:c r="M29" t="str">
        <x:v>정상</x:v>
      </x:c>
      <x:c r="N29" t="str">
        <x:v>N</x:v>
      </x:c>
    </x:row>
    <x:row r="30">
      <x:c r="A30" t="str">
        <x:v>193482-6012375</x:v>
      </x:c>
      <x:c r="B30" t="str">
        <x:v>신한 마음편한 TDF 시리즈</x:v>
      </x:c>
      <x:c r="C30" t="str">
        <x:v>수익증권</x:v>
      </x:c>
      <x:c r="D30" s="20" t="n">
        <x:v>30000000</x:v>
      </x:c>
      <x:c r="E30" s="20" t="n">
        <x:v>35100000</x:v>
      </x:c>
      <x:c r="F30" s="22" t="n">
        <x:v>0.16</x:v>
      </x:c>
      <x:c r="G30" s="22" t="n">
        <x:v>0.17</x:v>
      </x:c>
      <x:c r="H30" s="22" t="n">
        <x:v>0.21272727272727274</x:v>
      </x:c>
      <x:c r="I30" s="24" t="n">
        <x:v>45580</x:v>
      </x:c>
      <x:c r="J30" s="24"/>
      <x:c r="K30" t="str">
        <x:v>다소높은위험</x:v>
      </x:c>
      <x:c r="L30" s="26"/>
      <x:c r="M30" t="str">
        <x:v>판매중</x:v>
      </x:c>
      <x:c r="N30" t="str">
        <x:v>N</x:v>
      </x:c>
    </x:row>
    <x:row r="31">
      <x:c r="A31" t="str">
        <x:v>193482-6012375</x:v>
      </x:c>
      <x:c r="B31" t="str">
        <x:v>RISE 200 ETF</x:v>
      </x:c>
      <x:c r="C31" t="str">
        <x:v>ETF</x:v>
      </x:c>
      <x:c r="D31" s="20" t="n">
        <x:v>15000000</x:v>
      </x:c>
      <x:c r="E31" s="20" t="n">
        <x:v>16000000</x:v>
      </x:c>
      <x:c r="F31" s="22" t="n">
        <x:v>0.075</x:v>
      </x:c>
      <x:c r="G31" s="22" t="n">
        <x:v>0.067</x:v>
      </x:c>
      <x:c r="H31" s="22" t="n">
        <x:v>0.09696969696969697</x:v>
      </x:c>
      <x:c r="I31" s="24" t="n">
        <x:v>45992</x:v>
      </x:c>
      <x:c r="J31" s="24"/>
      <x:c r="K31" t="str">
        <x:v>매우높은위험</x:v>
      </x:c>
      <x:c r="L31" s="26"/>
      <x:c r="M31" t="str">
        <x:v>판매중</x:v>
      </x:c>
      <x:c r="N31" t="str">
        <x:v>N</x:v>
      </x:c>
    </x:row>
    <x:row r="32">
      <x:c r="A32" t="str">
        <x:v>162754-9483106</x:v>
      </x:c>
      <x:c r="B32" t="str">
        <x:v>고유계정대</x:v>
      </x:c>
      <x:c r="C32" t="str">
        <x:v>고유계정대</x:v>
      </x:c>
      <x:c r="D32" s="20" t="n">
        <x:v>250000000</x:v>
      </x:c>
      <x:c r="E32" s="20" t="n">
        <x:v>250000000</x:v>
      </x:c>
      <x:c r="F32" s="22"/>
      <x:c r="G32" s="22" t="n">
        <x:v>0</x:v>
      </x:c>
      <x:c r="H32" s="22" t="n">
        <x:v>0.5208333333333334</x:v>
      </x:c>
      <x:c r="I32" s="24" t="n">
        <x:v>44389</x:v>
      </x:c>
      <x:c r="J32" s="24"/>
      <x:c r="K32" t="str">
        <x:v>매우낮은위험</x:v>
      </x:c>
      <x:c r="L32" s="26"/>
      <x:c r="M32" t="str">
        <x:v>정상</x:v>
      </x:c>
      <x:c r="N32" t="str">
        <x:v>N</x:v>
      </x:c>
    </x:row>
    <x:row r="33">
      <x:c r="A33" t="str">
        <x:v>162754-9483106</x:v>
      </x:c>
      <x:c r="B33" t="str">
        <x:v>마이다스 아시아 리더스 성장주(H) (주식)</x:v>
      </x:c>
      <x:c r="C33" t="str">
        <x:v>수익증권</x:v>
      </x:c>
      <x:c r="D33" s="20" t="n">
        <x:v>70000000</x:v>
      </x:c>
      <x:c r="E33" s="20" t="n">
        <x:v>83000000</x:v>
      </x:c>
      <x:c r="F33" s="22" t="n">
        <x:v>0.245</x:v>
      </x:c>
      <x:c r="G33" s="22" t="n">
        <x:v>0.18600000000000003</x:v>
      </x:c>
      <x:c r="H33" s="22" t="n">
        <x:v>0.17291666666666666</x:v>
      </x:c>
      <x:c r="I33" s="24" t="n">
        <x:v>45779</x:v>
      </x:c>
      <x:c r="J33" s="24"/>
      <x:c r="K33" t="str">
        <x:v>높은위험</x:v>
      </x:c>
      <x:c r="L33" s="26"/>
      <x:c r="M33" t="str">
        <x:v>판매중</x:v>
      </x:c>
      <x:c r="N33" t="str">
        <x:v>N</x:v>
      </x:c>
    </x:row>
    <x:row r="34">
      <x:c r="A34" t="str">
        <x:v>162754-9483106</x:v>
      </x:c>
      <x:c r="B34" t="str">
        <x:v>RISE 미국나스닥100 ETF</x:v>
      </x:c>
      <x:c r="C34" t="str">
        <x:v>ETF</x:v>
      </x:c>
      <x:c r="D34" s="20" t="n">
        <x:v>65000000</x:v>
      </x:c>
      <x:c r="E34" s="20" t="n">
        <x:v>92000000</x:v>
      </x:c>
      <x:c r="F34" s="22" t="n">
        <x:v>0.382</x:v>
      </x:c>
      <x:c r="G34" s="22" t="n">
        <x:v>0.415</x:v>
      </x:c>
      <x:c r="H34" s="22" t="n">
        <x:v>0.19166666666666668</x:v>
      </x:c>
      <x:c r="I34" s="24" t="n">
        <x:v>45754</x:v>
      </x:c>
      <x:c r="J34" s="24"/>
      <x:c r="K34" t="str">
        <x:v>매우높은위험</x:v>
      </x:c>
      <x:c r="L34" s="26"/>
      <x:c r="M34" t="str">
        <x:v>판매중</x:v>
      </x:c>
      <x:c r="N34" t="str">
        <x:v>N</x:v>
      </x:c>
    </x:row>
    <x:row r="35">
      <x:c r="A35" t="str">
        <x:v>162754-9483106</x:v>
      </x:c>
      <x:c r="B35" t="str">
        <x:v>RISE 미국S&amp;P500 ETF</x:v>
      </x:c>
      <x:c r="C35" t="str">
        <x:v>ETF</x:v>
      </x:c>
      <x:c r="D35" s="20" t="n">
        <x:v>45000000</x:v>
      </x:c>
      <x:c r="E35" s="20" t="n">
        <x:v>55000000</x:v>
      </x:c>
      <x:c r="F35" s="22" t="n">
        <x:v>0.281</x:v>
      </x:c>
      <x:c r="G35" s="22" t="n">
        <x:v>0.222</x:v>
      </x:c>
      <x:c r="H35" s="22" t="n">
        <x:v>0.11458333333333333</x:v>
      </x:c>
      <x:c r="I35" s="24" t="n">
        <x:v>45945</x:v>
      </x:c>
      <x:c r="J35" s="24"/>
      <x:c r="K35" t="str">
        <x:v>매우높은위험</x:v>
      </x:c>
      <x:c r="L35" s="26"/>
      <x:c r="M35" t="str">
        <x:v>판매중</x:v>
      </x:c>
      <x:c r="N35" t="str">
        <x:v>N</x:v>
      </x:c>
    </x:row>
    <x:row r="36">
      <x:c r="A36" t="str">
        <x:v>188406-7352194</x:v>
      </x:c>
      <x:c r="B36" t="str">
        <x:v>고유계정대</x:v>
      </x:c>
      <x:c r="C36" t="str">
        <x:v>고유계정대</x:v>
      </x:c>
      <x:c r="D36" s="20" t="n">
        <x:v>280000000</x:v>
      </x:c>
      <x:c r="E36" s="20" t="n">
        <x:v>280000000</x:v>
      </x:c>
      <x:c r="F36" s="22"/>
      <x:c r="G36" s="22" t="n">
        <x:v>0</x:v>
      </x:c>
      <x:c r="H36" s="22" t="n">
        <x:v>0.5384615384615384</x:v>
      </x:c>
      <x:c r="I36" s="24" t="n">
        <x:v>45201</x:v>
      </x:c>
      <x:c r="J36" s="24"/>
      <x:c r="K36" t="str">
        <x:v>매우낮은위험</x:v>
      </x:c>
      <x:c r="L36" s="26"/>
      <x:c r="M36" t="str">
        <x:v>정상</x:v>
      </x:c>
      <x:c r="N36" t="str">
        <x:v>N</x:v>
      </x:c>
    </x:row>
    <x:row r="37">
      <x:c r="A37" t="str">
        <x:v>188406-7352194</x:v>
      </x:c>
      <x:c r="B37" t="str">
        <x:v>KB 퇴직연금 배당 (주식)</x:v>
      </x:c>
      <x:c r="C37" t="str">
        <x:v>수익증권</x:v>
      </x:c>
      <x:c r="D37" s="20" t="n">
        <x:v>50000000</x:v>
      </x:c>
      <x:c r="E37" s="20" t="n">
        <x:v>80000000</x:v>
      </x:c>
      <x:c r="F37" s="22" t="n">
        <x:v>0.56</x:v>
      </x:c>
      <x:c r="G37" s="22" t="n">
        <x:v>0.6</x:v>
      </x:c>
      <x:c r="H37" s="22" t="n">
        <x:v>0.15384615384615385</x:v>
      </x:c>
      <x:c r="I37" s="24" t="n">
        <x:v>45323</x:v>
      </x:c>
      <x:c r="J37" s="24"/>
      <x:c r="K37" t="str">
        <x:v>높은위험</x:v>
      </x:c>
      <x:c r="L37" s="26"/>
      <x:c r="M37" t="str">
        <x:v>판매중단</x:v>
      </x:c>
      <x:c r="N37" t="str">
        <x:v>Y</x:v>
      </x:c>
    </x:row>
    <x:row r="38">
      <x:c r="A38" t="str">
        <x:v>188406-7352194</x:v>
      </x:c>
      <x:c r="B38" t="str">
        <x:v>하나 파이팅 코리아 (주식)</x:v>
      </x:c>
      <x:c r="C38" t="str">
        <x:v>수익증권</x:v>
      </x:c>
      <x:c r="D38" s="20" t="n">
        <x:v>30000000</x:v>
      </x:c>
      <x:c r="E38" s="20" t="n">
        <x:v>44000000</x:v>
      </x:c>
      <x:c r="F38" s="22" t="n">
        <x:v>0.42</x:v>
      </x:c>
      <x:c r="G38" s="22" t="n">
        <x:v>0.467</x:v>
      </x:c>
      <x:c r="H38" s="22" t="n">
        <x:v>0.08461538461538462</x:v>
      </x:c>
      <x:c r="I38" s="24" t="n">
        <x:v>45482</x:v>
      </x:c>
      <x:c r="J38" s="24"/>
      <x:c r="K38" t="str">
        <x:v>높은위험</x:v>
      </x:c>
      <x:c r="L38" s="26"/>
      <x:c r="M38" t="str">
        <x:v>판매중</x:v>
      </x:c>
      <x:c r="N38" t="str">
        <x:v>N</x:v>
      </x:c>
    </x:row>
    <x:row r="39">
      <x:c r="A39" t="str">
        <x:v>188406-7352194</x:v>
      </x:c>
      <x:c r="B39" t="str">
        <x:v>RISE 미국나스닥100 ETF</x:v>
      </x:c>
      <x:c r="C39" t="str">
        <x:v>ETF</x:v>
      </x:c>
      <x:c r="D39" s="20" t="n">
        <x:v>70000000</x:v>
      </x:c>
      <x:c r="E39" s="20" t="n">
        <x:v>116000000</x:v>
      </x:c>
      <x:c r="F39" s="22" t="n">
        <x:v>0.61</x:v>
      </x:c>
      <x:c r="G39" s="22" t="n">
        <x:v>0.657</x:v>
      </x:c>
      <x:c r="H39" s="22" t="n">
        <x:v>0.2230769230769231</x:v>
      </x:c>
      <x:c r="I39" s="24" t="n">
        <x:v>45425</x:v>
      </x:c>
      <x:c r="J39" s="24"/>
      <x:c r="K39" t="str">
        <x:v>매우높은위험</x:v>
      </x:c>
      <x:c r="L39" s="26"/>
      <x:c r="M39" t="str">
        <x:v>판매중</x:v>
      </x:c>
      <x:c r="N39" t="str">
        <x:v>N</x:v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.1299991607666" hidden="0" customWidth="1"/>
    <x:col min="2" max="2" width="13.380000114440918" hidden="0" customWidth="1"/>
    <x:col min="3" max="3" width="13.380000114440918" hidden="0" customWidth="1"/>
    <x:col min="4" max="4" width="9.75" hidden="0" customWidth="1"/>
    <x:col min="5" max="5" width="18" hidden="0" customWidth="1"/>
    <x:col min="6" max="6" width="14.25" hidden="0" customWidth="1"/>
    <x:col min="7" max="7" width="17.8799991607666" hidden="0" customWidth="1"/>
    <x:col min="8" max="8" width="18.8799991607666" hidden="0" customWidth="1"/>
    <x:col min="9" max="9" width="22.5" hidden="0" customWidth="1"/>
    <x:col min="10" max="10" width="23.5" hidden="0" customWidth="1"/>
    <x:col min="11" max="11" width="18.8799991607666" hidden="0" customWidth="1"/>
  </x:cols>
  <x:sheetData>
    <x:row r="1" ht="24" customHeight="1">
      <x:c r="A1" s="5" t="str">
        <x:v>ACTIVITY — 운용·거래정보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KB-PIN</x:v>
      </x:c>
      <x:c r="B2" s="14" t="str">
        <x:v>최근상품매매일</x:v>
      </x:c>
      <x:c r="C2" s="14" t="str">
        <x:v>최근운용지시일</x:v>
      </x:c>
      <x:c r="D2" s="14" t="str">
        <x:v>최근입금일</x:v>
      </x:c>
      <x:c r="E2" s="14" t="str">
        <x:v>최근1년상품매매횟수</x:v>
      </x:c>
      <x:c r="F2" s="14" t="str">
        <x:v>ETF현재보유여부</x:v>
      </x:c>
      <x:c r="G2" s="14" t="str">
        <x:v>ETF과거매매이력여부</x:v>
      </x:c>
      <x:c r="H2" s="14" t="str">
        <x:v>수익증권현재보유여부</x:v>
      </x:c>
      <x:c r="I2" s="14" t="str">
        <x:v>수익증권과거매매이력여부</x:v>
      </x:c>
      <x:c r="J2" s="14" t="str">
        <x:v>최근1개월고유계정대증감액</x:v>
      </x:c>
      <x:c r="K2" s="14" t="str">
        <x:v>입금예정상품등록여부</x:v>
      </x:c>
    </x:row>
    <x:row r="3">
      <x:c r="A3" t="str">
        <x:v>173544-2074623</x:v>
      </x:c>
      <x:c r="B3" s="24" t="n">
        <x:v>45950</x:v>
      </x:c>
      <x:c r="C3" s="24" t="n">
        <x:v>45950</x:v>
      </x:c>
      <x:c r="D3" s="24" t="n">
        <x:v>46063</x:v>
      </x:c>
      <x:c r="E3" t="n">
        <x:v>1</x:v>
      </x:c>
      <x:c r="F3" t="str">
        <x:v>N</x:v>
      </x:c>
      <x:c r="G3" t="str">
        <x:v>N</x:v>
      </x:c>
      <x:c r="H3" t="str">
        <x:v>Y</x:v>
      </x:c>
      <x:c r="I3" t="str">
        <x:v>Y</x:v>
      </x:c>
      <x:c r="J3" s="20" t="n">
        <x:v>0</x:v>
      </x:c>
      <x:c r="K3" t="str">
        <x:v>N</x:v>
      </x:c>
    </x:row>
    <x:row r="4">
      <x:c r="A4" t="str">
        <x:v>154821-4938201</x:v>
      </x:c>
      <x:c r="B4" s="24" t="n">
        <x:v>46225</x:v>
      </x:c>
      <x:c r="C4" s="24" t="n">
        <x:v>46225</x:v>
      </x:c>
      <x:c r="D4" s="24" t="n">
        <x:v>46204</x:v>
      </x:c>
      <x:c r="E4" t="n">
        <x:v>7</x:v>
      </x:c>
      <x:c r="F4" t="str">
        <x:v>Y</x:v>
      </x:c>
      <x:c r="G4" t="str">
        <x:v>Y</x:v>
      </x:c>
      <x:c r="H4" t="str">
        <x:v>Y</x:v>
      </x:c>
      <x:c r="I4" t="str">
        <x:v>Y</x:v>
      </x:c>
      <x:c r="J4" s="20" t="n">
        <x:v>-500000</x:v>
      </x:c>
      <x:c r="K4" t="str">
        <x:v>Y</x:v>
      </x:c>
    </x:row>
    <x:row r="5">
      <x:c r="A5" t="str">
        <x:v>198734-1205842</x:v>
      </x:c>
      <x:c r="B5" s="24" t="n">
        <x:v>46193</x:v>
      </x:c>
      <x:c r="C5" s="24" t="n">
        <x:v>46193</x:v>
      </x:c>
      <x:c r="D5" s="24" t="n">
        <x:v>46188</x:v>
      </x:c>
      <x:c r="E5" t="n">
        <x:v>5</x:v>
      </x:c>
      <x:c r="F5" t="str">
        <x:v>Y</x:v>
      </x:c>
      <x:c r="G5" t="str">
        <x:v>Y</x:v>
      </x:c>
      <x:c r="H5" t="str">
        <x:v>Y</x:v>
      </x:c>
      <x:c r="I5" t="str">
        <x:v>Y</x:v>
      </x:c>
      <x:c r="J5" s="20" t="n">
        <x:v>1000000</x:v>
      </x:c>
      <x:c r="K5" t="str">
        <x:v>Y</x:v>
      </x:c>
    </x:row>
    <x:row r="6">
      <x:c r="A6" t="str">
        <x:v>165932-8741205</x:v>
      </x:c>
      <x:c r="B6" s="24" t="n">
        <x:v>46037</x:v>
      </x:c>
      <x:c r="C6" s="24" t="n">
        <x:v>46037</x:v>
      </x:c>
      <x:c r="D6" s="24" t="n">
        <x:v>46032</x:v>
      </x:c>
      <x:c r="E6" t="n">
        <x:v>2</x:v>
      </x:c>
      <x:c r="F6" t="str">
        <x:v>Y</x:v>
      </x:c>
      <x:c r="G6" t="str">
        <x:v>Y</x:v>
      </x:c>
      <x:c r="H6" t="str">
        <x:v>Y</x:v>
      </x:c>
      <x:c r="I6" t="str">
        <x:v>Y</x:v>
      </x:c>
      <x:c r="J6" s="20" t="n">
        <x:v>0</x:v>
      </x:c>
      <x:c r="K6" t="str">
        <x:v>Y</x:v>
      </x:c>
    </x:row>
    <x:row r="7">
      <x:c r="A7" t="str">
        <x:v>181245-3097614</x:v>
      </x:c>
      <x:c r="B7" s="24" t="n">
        <x:v>45871</x:v>
      </x:c>
      <x:c r="C7" s="24" t="n">
        <x:v>45871</x:v>
      </x:c>
      <x:c r="D7" s="24" t="n">
        <x:v>46027</x:v>
      </x:c>
      <x:c r="E7" t="n">
        <x:v>1</x:v>
      </x:c>
      <x:c r="F7" t="str">
        <x:v>N</x:v>
      </x:c>
      <x:c r="G7" t="str">
        <x:v>Y</x:v>
      </x:c>
      <x:c r="H7" t="str">
        <x:v>N</x:v>
      </x:c>
      <x:c r="I7" t="str">
        <x:v>Y</x:v>
      </x:c>
      <x:c r="J7" s="20" t="n">
        <x:v>5000000</x:v>
      </x:c>
      <x:c r="K7" t="str">
        <x:v>Y</x:v>
      </x:c>
    </x:row>
    <x:row r="8">
      <x:c r="A8" t="str">
        <x:v>176903-5528417</x:v>
      </x:c>
      <x:c r="B8" s="24" t="n">
        <x:v>46228</x:v>
      </x:c>
      <x:c r="C8" s="24" t="n">
        <x:v>46228</x:v>
      </x:c>
      <x:c r="D8" s="24" t="n">
        <x:v>46213</x:v>
      </x:c>
      <x:c r="E8" t="n">
        <x:v>9</x:v>
      </x:c>
      <x:c r="F8" t="str">
        <x:v>Y</x:v>
      </x:c>
      <x:c r="G8" t="str">
        <x:v>Y</x:v>
      </x:c>
      <x:c r="H8" t="str">
        <x:v>Y</x:v>
      </x:c>
      <x:c r="I8" t="str">
        <x:v>Y</x:v>
      </x:c>
      <x:c r="J8" s="20" t="n">
        <x:v>-2000000</x:v>
      </x:c>
      <x:c r="K8" t="str">
        <x:v>Y</x:v>
      </x:c>
    </x:row>
    <x:row r="9">
      <x:c r="A9" t="str">
        <x:v>193482-6012375</x:v>
      </x:c>
      <x:c r="B9" s="24" t="n">
        <x:v>46130</x:v>
      </x:c>
      <x:c r="C9" s="24" t="n">
        <x:v>46130</x:v>
      </x:c>
      <x:c r="D9" s="24" t="n">
        <x:v>46113</x:v>
      </x:c>
      <x:c r="E9" t="n">
        <x:v>3</x:v>
      </x:c>
      <x:c r="F9" t="str">
        <x:v>Y</x:v>
      </x:c>
      <x:c r="G9" t="str">
        <x:v>Y</x:v>
      </x:c>
      <x:c r="H9" t="str">
        <x:v>Y</x:v>
      </x:c>
      <x:c r="I9" t="str">
        <x:v>Y</x:v>
      </x:c>
      <x:c r="J9" s="20" t="n">
        <x:v>0</x:v>
      </x:c>
      <x:c r="K9" t="str">
        <x:v>Y</x:v>
      </x:c>
    </x:row>
    <x:row r="10">
      <x:c r="A10" t="str">
        <x:v>162754-9483106</x:v>
      </x:c>
      <x:c r="B10" s="24" t="n">
        <x:v>46238</x:v>
      </x:c>
      <x:c r="C10" s="24" t="n">
        <x:v>46238</x:v>
      </x:c>
      <x:c r="D10" s="24" t="n">
        <x:v>46235</x:v>
      </x:c>
      <x:c r="E10" t="n">
        <x:v>14</x:v>
      </x:c>
      <x:c r="F10" t="str">
        <x:v>Y</x:v>
      </x:c>
      <x:c r="G10" t="str">
        <x:v>Y</x:v>
      </x:c>
      <x:c r="H10" t="str">
        <x:v>Y</x:v>
      </x:c>
      <x:c r="I10" t="str">
        <x:v>Y</x:v>
      </x:c>
      <x:c r="J10" s="20" t="n">
        <x:v>170000000</x:v>
      </x:c>
      <x:c r="K10" t="str">
        <x:v>N</x:v>
      </x:c>
    </x:row>
    <x:row r="11">
      <x:c r="A11" t="str">
        <x:v>188406-7352194</x:v>
      </x:c>
      <x:c r="B11" s="24" t="n">
        <x:v>45856</x:v>
      </x:c>
      <x:c r="C11" s="24" t="n">
        <x:v>45856</x:v>
      </x:c>
      <x:c r="D11" s="24" t="n">
        <x:v>45848</x:v>
      </x:c>
      <x:c r="E11" t="n">
        <x:v>1</x:v>
      </x:c>
      <x:c r="F11" t="str">
        <x:v>Y</x:v>
      </x:c>
      <x:c r="G11" t="str">
        <x:v>Y</x:v>
      </x:c>
      <x:c r="H11" t="str">
        <x:v>Y</x:v>
      </x:c>
      <x:c r="I11" t="str">
        <x:v>Y</x:v>
      </x:c>
      <x:c r="J11" s="20" t="n">
        <x:v>0</x:v>
      </x:c>
      <x:c r="K11" t="str">
        <x:v>N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.8799991607666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5.880000114440918" hidden="0" customWidth="1"/>
    <x:col min="6" max="6" width="20.75" hidden="0" customWidth="1"/>
    <x:col min="7" max="7" width="24.3799991607666" hidden="0" customWidth="1"/>
    <x:col min="8" max="8" width="15.25" hidden="0" customWidth="1"/>
    <x:col min="9" max="9" width="15.25" hidden="0" customWidth="1"/>
    <x:col min="10" max="10" width="22.25" hidden="0" customWidth="1"/>
    <x:col min="11" max="11" width="11.630000114440918" hidden="0" customWidth="1"/>
    <x:col min="12" max="12" width="9.130000114440918" hidden="0" customWidth="1"/>
    <x:col min="13" max="13" width="10.380000114440918" hidden="0" customWidth="1"/>
    <x:col min="14" max="14" width="14.13" hidden="0" customWidth="1"/>
    <x:col min="15" max="15" width="16.5" hidden="0" customWidth="1"/>
  </x:cols>
  <x:sheetData>
    <x:row r="1" ht="24" customHeight="1">
      <x:c r="A1" s="5" t="str">
        <x:v>TAX_AND_ISA — 납입·세제·ISA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KB-PIN</x:v>
      </x:c>
      <x:c r="B2" s="14" t="str">
        <x:v>2023년IRP납입액</x:v>
      </x:c>
      <x:c r="C2" s="14" t="str">
        <x:v>2024년IRP납입액</x:v>
      </x:c>
      <x:c r="D2" s="14" t="str">
        <x:v>2025년IRP납입액</x:v>
      </x:c>
      <x:c r="E2" s="14" t="str">
        <x:v>당해년도IRP납입액</x:v>
      </x:c>
      <x:c r="F2" s="14" t="str">
        <x:v>당해년도연금저축납입액</x:v>
      </x:c>
      <x:c r="G2" s="14" t="str">
        <x:v>당해년도세액공제인정납입액</x:v>
      </x:c>
      <x:c r="H2" s="14" t="str">
        <x:v>세액공제기준한도</x:v>
      </x:c>
      <x:c r="I2" s="14" t="str">
        <x:v>세액공제잔여한도</x:v>
      </x:c>
      <x:c r="J2" s="14" t="str">
        <x:v>ISA만기1개월이내보유여부</x:v>
      </x:c>
      <x:c r="K2" s="14" t="str">
        <x:v>ISA만기금액</x:v>
      </x:c>
      <x:c r="L2" s="14" t="str">
        <x:v>ISA만기일</x:v>
      </x:c>
      <x:c r="M2" s="14" t="str">
        <x:v>ISA기관구분</x:v>
      </x:c>
      <x:c r="N2" s="14" t="str">
        <x:v>총급여</x:v>
      </x:c>
      <x:c r="O2" s="14" t="str">
        <x:v>연금저축보유여부</x:v>
      </x:c>
    </x:row>
    <x:row r="3">
      <x:c r="A3" t="str">
        <x:v>173544-2074623</x:v>
      </x:c>
      <x:c r="B3" s="20" t="n">
        <x:v>0</x:v>
      </x:c>
      <x:c r="C3" s="20" t="n">
        <x:v>0</x:v>
      </x:c>
      <x:c r="D3" s="20" t="n">
        <x:v>0</x:v>
      </x:c>
      <x:c r="E3" s="20" t="n">
        <x:v>0</x:v>
      </x:c>
      <x:c r="F3" s="20" t="n">
        <x:v>0</x:v>
      </x:c>
      <x:c r="G3" s="20" t="n">
        <x:v>0</x:v>
      </x:c>
      <x:c r="H3" s="20" t="n">
        <x:v>9000000</x:v>
      </x:c>
      <x:c r="I3" s="20" t="n">
        <x:v>0</x:v>
      </x:c>
      <x:c r="J3" t="str">
        <x:v>N</x:v>
      </x:c>
      <x:c r="K3" s="20" t="n">
        <x:v>0</x:v>
      </x:c>
      <x:c r="L3" s="24"/>
      <x:c r="M3" t="str">
        <x:v>없음</x:v>
      </x:c>
      <x:c r="N3" s="20" t="n">
        <x:v>38000000</x:v>
      </x:c>
    </x:row>
    <x:row r="4">
      <x:c r="A4" t="str">
        <x:v>154821-4938201</x:v>
      </x:c>
      <x:c r="B4" s="20" t="n">
        <x:v>7000000</x:v>
      </x:c>
      <x:c r="C4" s="20" t="n">
        <x:v>9000000</x:v>
      </x:c>
      <x:c r="D4" s="20" t="n">
        <x:v>8000000</x:v>
      </x:c>
      <x:c r="E4" s="20" t="n">
        <x:v>4000000</x:v>
      </x:c>
      <x:c r="F4" s="20" t="n">
        <x:v>2000000</x:v>
      </x:c>
      <x:c r="G4" s="20" t="n">
        <x:v>6000000</x:v>
      </x:c>
      <x:c r="H4" s="20" t="n">
        <x:v>9000000</x:v>
      </x:c>
      <x:c r="I4" s="20" t="n">
        <x:v>3000000</x:v>
      </x:c>
      <x:c r="J4" t="str">
        <x:v>N</x:v>
      </x:c>
      <x:c r="K4" s="20" t="n">
        <x:v>0</x:v>
      </x:c>
      <x:c r="L4" s="24"/>
      <x:c r="M4" t="str">
        <x:v>없음</x:v>
      </x:c>
      <x:c r="N4" s="20" t="n">
        <x:v>55000000</x:v>
      </x:c>
    </x:row>
    <x:row r="5">
      <x:c r="A5" t="str">
        <x:v>198734-1205842</x:v>
      </x:c>
      <x:c r="B5" s="20" t="n">
        <x:v>9000000</x:v>
      </x:c>
      <x:c r="C5" s="20" t="n">
        <x:v>9000000</x:v>
      </x:c>
      <x:c r="D5" s="20" t="n">
        <x:v>9000000</x:v>
      </x:c>
      <x:c r="E5" s="20" t="n">
        <x:v>9000000</x:v>
      </x:c>
      <x:c r="F5" s="20" t="n">
        <x:v>0</x:v>
      </x:c>
      <x:c r="G5" s="20" t="n">
        <x:v>9000000</x:v>
      </x:c>
      <x:c r="H5" s="20" t="n">
        <x:v>9000000</x:v>
      </x:c>
      <x:c r="I5" s="20" t="n">
        <x:v>0</x:v>
      </x:c>
      <x:c r="J5" t="str">
        <x:v>N</x:v>
      </x:c>
      <x:c r="K5" s="20" t="n">
        <x:v>0</x:v>
      </x:c>
      <x:c r="L5" s="24"/>
      <x:c r="M5" t="str">
        <x:v>없음</x:v>
      </x:c>
      <x:c r="N5" s="20" t="n">
        <x:v>78000000</x:v>
      </x:c>
    </x:row>
    <x:row r="6">
      <x:c r="A6" t="str">
        <x:v>165932-8741205</x:v>
      </x:c>
      <x:c r="B6" s="20" t="n">
        <x:v>9000000</x:v>
      </x:c>
      <x:c r="C6" s="20" t="n">
        <x:v>9000000</x:v>
      </x:c>
      <x:c r="D6" s="20" t="n">
        <x:v>9000000</x:v>
      </x:c>
      <x:c r="E6" s="20" t="n">
        <x:v>9000000</x:v>
      </x:c>
      <x:c r="F6" s="20" t="n">
        <x:v>0</x:v>
      </x:c>
      <x:c r="G6" s="20" t="n">
        <x:v>9000000</x:v>
      </x:c>
      <x:c r="H6" s="20" t="n">
        <x:v>9000000</x:v>
      </x:c>
      <x:c r="I6" s="20" t="n">
        <x:v>0</x:v>
      </x:c>
      <x:c r="J6" t="str">
        <x:v>N</x:v>
      </x:c>
      <x:c r="K6" s="20" t="n">
        <x:v>0</x:v>
      </x:c>
      <x:c r="L6" s="24"/>
      <x:c r="M6" t="str">
        <x:v>없음</x:v>
      </x:c>
      <x:c r="N6" s="20" t="n">
        <x:v>51000000</x:v>
      </x:c>
    </x:row>
    <x:row r="7">
      <x:c r="A7" t="str">
        <x:v>181245-3097614</x:v>
      </x:c>
      <x:c r="B7" s="20" t="n">
        <x:v>9000000</x:v>
      </x:c>
      <x:c r="C7" s="20" t="n">
        <x:v>9000000</x:v>
      </x:c>
      <x:c r="D7" s="20" t="n">
        <x:v>9000000</x:v>
      </x:c>
      <x:c r="E7" s="20" t="n">
        <x:v>9000000</x:v>
      </x:c>
      <x:c r="F7" s="20" t="n">
        <x:v>0</x:v>
      </x:c>
      <x:c r="G7" s="20" t="n">
        <x:v>9000000</x:v>
      </x:c>
      <x:c r="H7" s="20" t="n">
        <x:v>9000000</x:v>
      </x:c>
      <x:c r="I7" s="20" t="n">
        <x:v>0</x:v>
      </x:c>
      <x:c r="J7" t="str">
        <x:v>N</x:v>
      </x:c>
      <x:c r="K7" s="20" t="n">
        <x:v>0</x:v>
      </x:c>
      <x:c r="L7" s="24"/>
      <x:c r="M7" t="str">
        <x:v>없음</x:v>
      </x:c>
      <x:c r="N7" s="20" t="n">
        <x:v>120000000</x:v>
      </x:c>
    </x:row>
    <x:row r="8">
      <x:c r="A8" t="str">
        <x:v>176903-5528417</x:v>
      </x:c>
      <x:c r="B8" s="20" t="n">
        <x:v>6000000</x:v>
      </x:c>
      <x:c r="C8" s="20" t="n">
        <x:v>7000000</x:v>
      </x:c>
      <x:c r="D8" s="20" t="n">
        <x:v>8000000</x:v>
      </x:c>
      <x:c r="E8" s="20" t="n">
        <x:v>3500000</x:v>
      </x:c>
      <x:c r="F8" s="20" t="n">
        <x:v>2500000</x:v>
      </x:c>
      <x:c r="G8" s="20" t="n">
        <x:v>6000000</x:v>
      </x:c>
      <x:c r="H8" s="20" t="n">
        <x:v>9000000</x:v>
      </x:c>
      <x:c r="I8" s="20" t="n">
        <x:v>3000000</x:v>
      </x:c>
      <x:c r="J8" t="str">
        <x:v>Y</x:v>
      </x:c>
      <x:c r="K8" s="20" t="n">
        <x:v>80000000</x:v>
      </x:c>
      <x:c r="L8" s="24" t="n">
        <x:v>46270</x:v>
      </x:c>
      <x:c r="M8" t="str">
        <x:v>타행</x:v>
      </x:c>
      <x:c r="N8" s="20" t="n">
        <x:v>95000000</x:v>
      </x:c>
    </x:row>
    <x:row r="9">
      <x:c r="A9" t="str">
        <x:v>193482-6012375</x:v>
      </x:c>
      <x:c r="B9" s="20" t="n">
        <x:v>9000000</x:v>
      </x:c>
      <x:c r="C9" s="20" t="n">
        <x:v>9000000</x:v>
      </x:c>
      <x:c r="D9" s="20" t="n">
        <x:v>9000000</x:v>
      </x:c>
      <x:c r="E9" s="20" t="n">
        <x:v>9000000</x:v>
      </x:c>
      <x:c r="F9" s="20" t="n">
        <x:v>0</x:v>
      </x:c>
      <x:c r="G9" s="20" t="n">
        <x:v>9000000</x:v>
      </x:c>
      <x:c r="H9" s="20" t="n">
        <x:v>9000000</x:v>
      </x:c>
      <x:c r="I9" s="20" t="n">
        <x:v>0</x:v>
      </x:c>
      <x:c r="J9" t="str">
        <x:v>N</x:v>
      </x:c>
      <x:c r="K9" s="20" t="n">
        <x:v>0</x:v>
      </x:c>
      <x:c r="L9" s="24"/>
      <x:c r="M9" t="str">
        <x:v>없음</x:v>
      </x:c>
      <x:c r="N9" s="20" t="n">
        <x:v>66000000</x:v>
      </x:c>
      <x:c r="O9" t="str">
        <x:v>Y</x:v>
      </x:c>
    </x:row>
    <x:row r="10">
      <x:c r="A10" t="str">
        <x:v>162754-9483106</x:v>
      </x:c>
      <x:c r="B10" s="20" t="n">
        <x:v>9000000</x:v>
      </x:c>
      <x:c r="C10" s="20" t="n">
        <x:v>9000000</x:v>
      </x:c>
      <x:c r="D10" s="20" t="n">
        <x:v>9000000</x:v>
      </x:c>
      <x:c r="E10" s="20" t="n">
        <x:v>9000000</x:v>
      </x:c>
      <x:c r="F10" s="20" t="n">
        <x:v>0</x:v>
      </x:c>
      <x:c r="G10" s="20" t="n">
        <x:v>9000000</x:v>
      </x:c>
      <x:c r="H10" s="20" t="n">
        <x:v>9000000</x:v>
      </x:c>
      <x:c r="I10" s="20" t="n">
        <x:v>0</x:v>
      </x:c>
      <x:c r="J10" t="str">
        <x:v>N</x:v>
      </x:c>
      <x:c r="K10" s="20" t="n">
        <x:v>0</x:v>
      </x:c>
      <x:c r="L10" s="24"/>
      <x:c r="M10" t="str">
        <x:v>없음</x:v>
      </x:c>
      <x:c r="N10" s="20" t="n">
        <x:v>42000000</x:v>
      </x:c>
    </x:row>
    <x:row r="11">
      <x:c r="A11" t="str">
        <x:v>188406-7352194</x:v>
      </x:c>
      <x:c r="B11" s="20" t="n">
        <x:v>0</x:v>
      </x:c>
      <x:c r="C11" s="20" t="n">
        <x:v>0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n">
        <x:v>9000000</x:v>
      </x:c>
      <x:c r="I11" s="20" t="n">
        <x:v>0</x:v>
      </x:c>
      <x:c r="J11" t="str">
        <x:v>Y</x:v>
      </x:c>
      <x:c r="K11" s="20" t="n">
        <x:v>120000000</x:v>
      </x:c>
      <x:c r="L11" s="24" t="n">
        <x:v>46285</x:v>
      </x:c>
      <x:c r="M11" t="str">
        <x:v>당행</x:v>
      </x:c>
      <x:c r="N11" s="20" t="n">
        <x:v>24000000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.5" hidden="0" customWidth="1"/>
    <x:col min="2" max="2" width="9.130000114440918" hidden="0" customWidth="1"/>
    <x:col min="3" max="3" width="6" hidden="0" customWidth="1"/>
    <x:col min="4" max="4" width="9.130000114440918" hidden="0" customWidth="1"/>
    <x:col min="5" max="5" width="15.25" hidden="0" customWidth="1"/>
    <x:col min="6" max="6" width="11.630000114440918" hidden="0" customWidth="1"/>
    <x:col min="7" max="7" width="13.380000114440918" hidden="0" customWidth="1"/>
    <x:col min="8" max="8" width="18.8799991607666" hidden="0" customWidth="1"/>
    <x:col min="9" max="9" width="11.5" hidden="0" customWidth="1"/>
    <x:col min="10" max="10" width="9.75" hidden="0" customWidth="1"/>
    <x:col min="11" max="11" width="18.8799991607666" hidden="0" customWidth="1"/>
  </x:cols>
  <x:sheetData>
    <x:row r="1" ht="24" customHeight="1">
      <x:c r="A1" s="5" t="str">
        <x:v>PENSION — 연금개시정보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KB-PIN</x:v>
      </x:c>
      <x:c r="B2" s="14" t="str">
        <x:v>기준일</x:v>
      </x:c>
      <x:c r="C2" s="14" t="str">
        <x:v>만나이</x:v>
      </x:c>
      <x:c r="D2" s="14" t="str">
        <x:v>IRP가입일</x:v>
      </x:c>
      <x:c r="E2" s="14" t="str">
        <x:v>퇴직급여포함여부</x:v>
      </x:c>
      <x:c r="F2" s="14" t="str">
        <x:v>퇴직급여금액</x:v>
      </x:c>
      <x:c r="G2" s="14" t="str">
        <x:v>개인부담금금액</x:v>
      </x:c>
      <x:c r="H2" s="14" t="str">
        <x:v>연금개시요건충족여부</x:v>
      </x:c>
      <x:c r="I2" s="14" t="str">
        <x:v>연금개시여부</x:v>
      </x:c>
      <x:c r="J2" s="14" t="str">
        <x:v>연금개시일</x:v>
      </x:c>
      <x:c r="K2" s="14" t="str">
        <x:v>연금지급설계등록여부</x:v>
      </x:c>
    </x:row>
    <x:row r="3">
      <x:c r="A3" t="str">
        <x:v>173544-2074623</x:v>
      </x:c>
      <x:c r="B3" s="24" t="n">
        <x:v>46258</x:v>
      </x:c>
      <x:c r="C3" t="n">
        <x:v>29</x:v>
      </x:c>
      <x:c r="D3" s="24" t="n">
        <x:v>45597</x:v>
      </x:c>
      <x:c r="E3" t="str">
        <x:v>N</x:v>
      </x:c>
      <x:c r="F3" s="20" t="n">
        <x:v>0</x:v>
      </x:c>
      <x:c r="G3" s="20" t="n">
        <x:v>8000000</x:v>
      </x:c>
      <x:c r="H3" t="str">
        <x:f>IF(AND(C3&gt;=55,D3&lt;=EDATE(B3,-60),G3&gt;0),"Y","N")</x:f>
        <x:v>N</x:v>
      </x:c>
      <x:c r="I3" t="str">
        <x:v>N</x:v>
      </x:c>
      <x:c r="J3" s="24"/>
      <x:c r="K3" t="str">
        <x:v>N</x:v>
      </x:c>
    </x:row>
    <x:row r="4">
      <x:c r="A4" t="str">
        <x:v>154821-4938201</x:v>
      </x:c>
      <x:c r="B4" s="24" t="n">
        <x:v>46258</x:v>
      </x:c>
      <x:c r="C4" t="n">
        <x:v>34</x:v>
      </x:c>
      <x:c r="D4" s="24" t="n">
        <x:v>44722</x:v>
      </x:c>
      <x:c r="E4" t="str">
        <x:v>N</x:v>
      </x:c>
      <x:c r="F4" s="20" t="n">
        <x:v>0</x:v>
      </x:c>
      <x:c r="G4" s="20" t="n">
        <x:v>32000000</x:v>
      </x:c>
      <x:c r="H4" t="str">
        <x:f>IF(AND(C4&gt;=55,D4&lt;=EDATE(B4,-60),G4&gt;0),"Y","N")</x:f>
        <x:v>N</x:v>
      </x:c>
      <x:c r="I4" t="str">
        <x:v>N</x:v>
      </x:c>
      <x:c r="J4" s="24"/>
      <x:c r="K4" t="str">
        <x:v>N</x:v>
      </x:c>
    </x:row>
    <x:row r="5">
      <x:c r="A5" t="str">
        <x:v>198734-1205842</x:v>
      </x:c>
      <x:c r="B5" s="24" t="n">
        <x:v>46258</x:v>
      </x:c>
      <x:c r="C5" t="n">
        <x:v>41</x:v>
      </x:c>
      <x:c r="D5" s="24" t="n">
        <x:v>43892</x:v>
      </x:c>
      <x:c r="E5" t="str">
        <x:v>N</x:v>
      </x:c>
      <x:c r="F5" s="20" t="n">
        <x:v>0</x:v>
      </x:c>
      <x:c r="G5" s="20" t="n">
        <x:v>125000000</x:v>
      </x:c>
      <x:c r="H5" t="str">
        <x:f>IF(AND(C5&gt;=55,D5&lt;=EDATE(B5,-60),G5&gt;0),"Y","N")</x:f>
        <x:v>N</x:v>
      </x:c>
      <x:c r="I5" t="str">
        <x:v>N</x:v>
      </x:c>
      <x:c r="J5" s="24"/>
      <x:c r="K5" t="str">
        <x:v>N</x:v>
      </x:c>
    </x:row>
    <x:row r="6">
      <x:c r="A6" t="str">
        <x:v>165932-8741205</x:v>
      </x:c>
      <x:c r="B6" s="24" t="n">
        <x:v>46258</x:v>
      </x:c>
      <x:c r="C6" t="n">
        <x:v>47</x:v>
      </x:c>
      <x:c r="D6" s="24" t="n">
        <x:v>43717</x:v>
      </x:c>
      <x:c r="E6" t="str">
        <x:v>N</x:v>
      </x:c>
      <x:c r="F6" s="20" t="n">
        <x:v>0</x:v>
      </x:c>
      <x:c r="G6" s="20" t="n">
        <x:v>58000000</x:v>
      </x:c>
      <x:c r="H6" t="str">
        <x:f>IF(AND(C6&gt;=55,D6&lt;=EDATE(B6,-60),G6&gt;0),"Y","N")</x:f>
        <x:v>N</x:v>
      </x:c>
      <x:c r="I6" t="str">
        <x:v>N</x:v>
      </x:c>
      <x:c r="J6" s="24"/>
      <x:c r="K6" t="str">
        <x:v>N</x:v>
      </x:c>
    </x:row>
    <x:row r="7">
      <x:c r="A7" t="str">
        <x:v>181245-3097614</x:v>
      </x:c>
      <x:c r="B7" s="24" t="n">
        <x:v>46258</x:v>
      </x:c>
      <x:c r="C7" t="n">
        <x:v>53</x:v>
      </x:c>
      <x:c r="D7" s="24" t="n">
        <x:v>42828</x:v>
      </x:c>
      <x:c r="E7" t="str">
        <x:v>Y</x:v>
      </x:c>
      <x:c r="F7" s="20" t="n">
        <x:v>80000000</x:v>
      </x:c>
      <x:c r="G7" s="20" t="n">
        <x:v>180000000</x:v>
      </x:c>
      <x:c r="H7" t="str">
        <x:f>IF(AND(C7&gt;=55,D7&lt;=EDATE(B7,-60),G7&gt;0),"Y","N")</x:f>
        <x:v>N</x:v>
      </x:c>
      <x:c r="I7" t="str">
        <x:v>N</x:v>
      </x:c>
      <x:c r="J7" s="24"/>
      <x:c r="K7" t="str">
        <x:v>N</x:v>
      </x:c>
    </x:row>
    <x:row r="8">
      <x:c r="A8" t="str">
        <x:v>176903-5528417</x:v>
      </x:c>
      <x:c r="B8" s="24" t="n">
        <x:v>46258</x:v>
      </x:c>
      <x:c r="C8" t="n">
        <x:v>57</x:v>
      </x:c>
      <x:c r="D8" s="24" t="n">
        <x:v>45356</x:v>
      </x:c>
      <x:c r="E8" t="str">
        <x:v>N</x:v>
      </x:c>
      <x:c r="F8" s="20" t="n">
        <x:v>0</x:v>
      </x:c>
      <x:c r="G8" s="20" t="n">
        <x:v>210000000</x:v>
      </x:c>
      <x:c r="H8" t="str">
        <x:f>IF(AND(C8&gt;=55,D8&lt;=EDATE(B8,-60),G8&gt;0),"Y","N")</x:f>
        <x:v>N</x:v>
      </x:c>
      <x:c r="I8" t="str">
        <x:v>N</x:v>
      </x:c>
      <x:c r="J8" s="24"/>
      <x:c r="K8" t="str">
        <x:v>N</x:v>
      </x:c>
    </x:row>
    <x:row r="9">
      <x:c r="A9" t="str">
        <x:v>193482-6012375</x:v>
      </x:c>
      <x:c r="B9" s="24" t="n">
        <x:v>46258</x:v>
      </x:c>
      <x:c r="C9" t="n">
        <x:v>61</x:v>
      </x:c>
      <x:c r="D9" s="24" t="n">
        <x:v>43150</x:v>
      </x:c>
      <x:c r="E9" t="str">
        <x:v>Y</x:v>
      </x:c>
      <x:c r="F9" s="20" t="n">
        <x:v>95000000</x:v>
      </x:c>
      <x:c r="G9" s="20" t="n">
        <x:v>70000000</x:v>
      </x:c>
      <x:c r="H9" t="str">
        <x:f>IF(AND(C9&gt;=55,D9&lt;=EDATE(B9,-60),G9&gt;0),"Y","N")</x:f>
        <x:v>Y</x:v>
      </x:c>
      <x:c r="I9" t="str">
        <x:v>N</x:v>
      </x:c>
      <x:c r="J9" s="24"/>
      <x:c r="K9" t="str">
        <x:v>N</x:v>
      </x:c>
    </x:row>
    <x:row r="10">
      <x:c r="A10" t="str">
        <x:v>162754-9483106</x:v>
      </x:c>
      <x:c r="B10" s="24" t="n">
        <x:v>46258</x:v>
      </x:c>
      <x:c r="C10" t="n">
        <x:v>66</x:v>
      </x:c>
      <x:c r="D10" s="24" t="n">
        <x:v>44754</x:v>
      </x:c>
      <x:c r="E10" t="str">
        <x:v>N</x:v>
      </x:c>
      <x:c r="F10" s="20" t="n">
        <x:v>0</x:v>
      </x:c>
      <x:c r="G10" s="20" t="n">
        <x:v>480000000</x:v>
      </x:c>
      <x:c r="H10" t="str">
        <x:f>IF(AND(C10&gt;=55,D10&lt;=EDATE(B10,-60),G10&gt;0),"Y","N")</x:f>
        <x:v>N</x:v>
      </x:c>
      <x:c r="I10" t="str">
        <x:v>N</x:v>
      </x:c>
      <x:c r="J10" s="24"/>
      <x:c r="K10" t="str">
        <x:v>N</x:v>
      </x:c>
    </x:row>
    <x:row r="11">
      <x:c r="A11" t="str">
        <x:v>188406-7352194</x:v>
      </x:c>
      <x:c r="B11" s="24" t="n">
        <x:v>46258</x:v>
      </x:c>
      <x:c r="C11" t="n">
        <x:v>72</x:v>
      </x:c>
      <x:c r="D11" s="24" t="n">
        <x:v>45201</x:v>
      </x:c>
      <x:c r="E11" t="str">
        <x:v>Y</x:v>
      </x:c>
      <x:c r="F11" s="20" t="n">
        <x:v>520000000</x:v>
      </x:c>
      <x:c r="G11" s="20" t="n">
        <x:v>0</x:v>
      </x:c>
      <x:c r="H11" t="str">
        <x:f>IF(AND(C11&gt;=55,D11&lt;=EDATE(B11,-60),G11&gt;0),"Y","N")</x:f>
        <x:v>N</x:v>
      </x:c>
      <x:c r="I11" t="str">
        <x:v>N</x:v>
      </x:c>
      <x:c r="J11" s="24"/>
      <x:c r="K11" t="str">
        <x:v>N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7" hidden="0" customWidth="1"/>
    <x:col min="3" max="3" width="23" hidden="0" customWidth="1"/>
    <x:col min="4" max="4" width="30.2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24" customHeight="1">
      <x:c r="A1" s="5" t="str">
        <x:v>PEER_COMPARE — 동연령대 비교·참고정보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KB-PIN</x:v>
      </x:c>
      <x:c r="B2" s="14" t="str">
        <x:v>동연령대평균수익률</x:v>
      </x:c>
      <x:c r="C2" s="14" t="str">
        <x:v>동연령대상위1%평균수익률</x:v>
      </x:c>
      <x:c r="D2" s="14" t="str">
        <x:v>동연령대상위1%평균원리금보장비중</x:v>
      </x:c>
      <x:c r="E2" s="14" t="str">
        <x:v>상위1%펀드TOP1</x:v>
      </x:c>
      <x:c r="F2" s="14" t="str">
        <x:v>상위1%펀드TOP2</x:v>
      </x:c>
      <x:c r="G2" s="14" t="str">
        <x:v>상위1%펀드TOP3</x:v>
      </x:c>
      <x:c r="H2" s="14" t="str">
        <x:v>상위1%ETF_TOP1</x:v>
      </x:c>
      <x:c r="I2" s="14" t="str">
        <x:v>상위1%ETF_TOP2</x:v>
      </x:c>
      <x:c r="J2" s="14" t="str">
        <x:v>상위1%ETF_TOP3</x:v>
      </x:c>
    </x:row>
    <x:row r="3">
      <x:c r="A3" t="str">
        <x:v>173544-2074623</x:v>
      </x:c>
      <x:c r="B3" s="22" t="n">
        <x:v>0.102</x:v>
      </x:c>
      <x:c r="C3" s="22" t="n">
        <x:v>0.285</x:v>
      </x:c>
      <x:c r="D3" s="22" t="n">
        <x:v>0.18</x:v>
      </x:c>
      <x:c r="E3" t="str">
        <x:v>KB 온국민 TDF 시리즈</x:v>
      </x:c>
      <x:c r="F3" t="str">
        <x:v>피델리티 글로벌 테크놀로지 (주식-재간접)</x:v>
      </x:c>
      <x:c r="G3" t="str">
        <x:v>KB 코리아밸류업액티브 (주식)</x:v>
      </x:c>
      <x:c r="H3" t="str">
        <x:v>KBSTAR 미국S&amp;P500</x:v>
      </x:c>
      <x:c r="I3" t="str">
        <x:v>KBSTAR 미국나스닥100</x:v>
      </x:c>
      <x:c r="J3" t="str">
        <x:v>KBSTAR 미국배당다우존스</x:v>
      </x:c>
    </x:row>
    <x:row r="4">
      <x:c r="A4" t="str">
        <x:v>154821-4938201</x:v>
      </x:c>
      <x:c r="B4" s="22" t="n">
        <x:v>0.094</x:v>
      </x:c>
      <x:c r="C4" s="22" t="n">
        <x:v>0.257</x:v>
      </x:c>
      <x:c r="D4" s="22" t="n">
        <x:v>0.22</x:v>
      </x:c>
      <x:c r="E4" t="str">
        <x:v>KB 온국민 TDF 시리즈</x:v>
      </x:c>
      <x:c r="F4" t="str">
        <x:v>에셋플러스 글로벌 리치투게더 (주식)</x:v>
      </x:c>
      <x:c r="G4" t="str">
        <x:v>KB RISE 미국 ETF 모아드림(주식-재간접)</x:v>
      </x:c>
      <x:c r="H4" t="str">
        <x:v>KBSTAR 미국나스닥100</x:v>
      </x:c>
      <x:c r="I4" t="str">
        <x:v>KBSTAR 미국S&amp;P500</x:v>
      </x:c>
      <x:c r="J4" t="str">
        <x:v>KBSTAR 글로벌AI</x:v>
      </x:c>
    </x:row>
    <x:row r="5">
      <x:c r="A5" t="str">
        <x:v>198734-1205842</x:v>
      </x:c>
      <x:c r="B5" s="22" t="n">
        <x:v>0.121</x:v>
      </x:c>
      <x:c r="C5" s="22" t="n">
        <x:v>0.318</x:v>
      </x:c>
      <x:c r="D5" s="22" t="n">
        <x:v>0.2</x:v>
      </x:c>
      <x:c r="E5" t="str">
        <x:v>신한 마음편한 TDF 시리즈</x:v>
      </x:c>
      <x:c r="F5" t="str">
        <x:v>KB 코리아밸류업액티브 (주식)</x:v>
      </x:c>
      <x:c r="G5" t="str">
        <x:v>피델리티 글로벌 테크놀로지 (주식-재간접)</x:v>
      </x:c>
      <x:c r="H5" t="str">
        <x:v>KBSTAR 미국S&amp;P500</x:v>
      </x:c>
      <x:c r="I5" t="str">
        <x:v>KBSTAR 미국나스닥100</x:v>
      </x:c>
      <x:c r="J5" t="str">
        <x:v>KBSTAR 2차전지TOP10</x:v>
      </x:c>
    </x:row>
    <x:row r="6">
      <x:c r="A6" t="str">
        <x:v>165932-8741205</x:v>
      </x:c>
      <x:c r="B6" s="22" t="n">
        <x:v>0.068</x:v>
      </x:c>
      <x:c r="C6" s="22" t="n">
        <x:v>0.22399999999999998</x:v>
      </x:c>
      <x:c r="D6" s="22" t="n">
        <x:v>0.26</x:v>
      </x:c>
      <x:c r="E6" t="str">
        <x:v>KB 드림스타 자산배분 안정형 (혼합-재간접)</x:v>
      </x:c>
      <x:c r="F6" t="str">
        <x:v>KB 퇴직연금 배당 (주식)</x:v>
      </x:c>
      <x:c r="G6" t="str">
        <x:v>에셋플러스 글로벌 리치투게더 (주식)</x:v>
      </x:c>
      <x:c r="H6" t="str">
        <x:v>KBSTAR 미국S&amp;P500</x:v>
      </x:c>
      <x:c r="I6" t="str">
        <x:v>KBSTAR 미국나스닥100</x:v>
      </x:c>
      <x:c r="J6" t="str">
        <x:v>KBSTAR KRX300</x:v>
      </x:c>
    </x:row>
    <x:row r="7">
      <x:c r="A7" t="str">
        <x:v>181245-3097614</x:v>
      </x:c>
      <x:c r="B7" s="22" t="n">
        <x:v>0.075</x:v>
      </x:c>
      <x:c r="C7" s="22" t="n">
        <x:v>0.203</x:v>
      </x:c>
      <x:c r="D7" s="22" t="n">
        <x:v>0.33</x:v>
      </x:c>
      <x:c r="E7" t="str">
        <x:v>KB 온국민 TDF 시리즈</x:v>
      </x:c>
      <x:c r="F7" t="str">
        <x:v>KB RISE 미국 ETF 모아드림(주식-재간접)</x:v>
      </x:c>
      <x:c r="G7" t="str">
        <x:v>삼성 EMP 리얼리턴(UH) (주식혼합-재간접)</x:v>
      </x:c>
      <x:c r="H7" t="str">
        <x:v>KBSTAR 미국S&amp;P500</x:v>
      </x:c>
      <x:c r="I7" t="str">
        <x:v>KBSTAR 미국나스닥100</x:v>
      </x:c>
      <x:c r="J7" t="str">
        <x:v>KBSTAR 미국배당다우존스</x:v>
      </x:c>
    </x:row>
    <x:row r="8">
      <x:c r="A8" t="str">
        <x:v>176903-5528417</x:v>
      </x:c>
      <x:c r="B8" s="22" t="n">
        <x:v>0.08199999999999999</x:v>
      </x:c>
      <x:c r="C8" s="22" t="n">
        <x:v>0.24100000000000002</x:v>
      </x:c>
      <x:c r="D8" s="22" t="n">
        <x:v>0.35</x:v>
      </x:c>
      <x:c r="E8" t="str">
        <x:v>피델리티 글로벌 테크놀로지 (주식-재간접)</x:v>
      </x:c>
      <x:c r="F8" t="str">
        <x:v>KB 온국민 TDF 시리즈</x:v>
      </x:c>
      <x:c r="G8" t="str">
        <x:v>마이다스 아시아 리더스 성장주(H) (주식)</x:v>
      </x:c>
      <x:c r="H8" t="str">
        <x:v>KBSTAR 미국S&amp;P500</x:v>
      </x:c>
      <x:c r="I8" t="str">
        <x:v>KBSTAR 미국나스닥100</x:v>
      </x:c>
      <x:c r="J8" t="str">
        <x:v>KBSTAR 미국배당다우존스</x:v>
      </x:c>
    </x:row>
    <x:row r="9">
      <x:c r="A9" t="str">
        <x:v>193482-6012375</x:v>
      </x:c>
      <x:c r="B9" s="22" t="n">
        <x:v>0.059000000000000004</x:v>
      </x:c>
      <x:c r="C9" s="22" t="n">
        <x:v>0.187</x:v>
      </x:c>
      <x:c r="D9" s="22" t="n">
        <x:v>0.42</x:v>
      </x:c>
      <x:c r="E9" t="str">
        <x:v>신한 마음편한 TDF 시리즈</x:v>
      </x:c>
      <x:c r="F9" t="str">
        <x:v>KB 드림스타 자산배분 안정형 (혼합-재간접)</x:v>
      </x:c>
      <x:c r="G9" t="str">
        <x:v>우리 미국단기채 공모주(H) (채권혼합)</x:v>
      </x:c>
      <x:c r="H9" t="str">
        <x:v>KBSTAR 미국S&amp;P500</x:v>
      </x:c>
      <x:c r="I9" t="str">
        <x:v>KBSTAR 200</x:v>
      </x:c>
      <x:c r="J9" t="str">
        <x:v>KBSTAR 미국배당다우존스</x:v>
      </x:c>
    </x:row>
    <x:row r="10">
      <x:c r="A10" t="str">
        <x:v>162754-9483106</x:v>
      </x:c>
      <x:c r="B10" s="22" t="n">
        <x:v>0.052000000000000005</x:v>
      </x:c>
      <x:c r="C10" s="22" t="n">
        <x:v>0.168</x:v>
      </x:c>
      <x:c r="D10" s="22" t="n">
        <x:v>0.48</x:v>
      </x:c>
      <x:c r="E10" t="str">
        <x:v>마이다스 아시아 리더스 성장주(H) (주식)</x:v>
      </x:c>
      <x:c r="F10" t="str">
        <x:v>에셋플러스 글로벌 리치투게더 (주식)</x:v>
      </x:c>
      <x:c r="G10" t="str">
        <x:v>KB 코리아밸류업액티브 (주식)</x:v>
      </x:c>
      <x:c r="H10" t="str">
        <x:v>KBSTAR 미국나스닥100</x:v>
      </x:c>
      <x:c r="I10" t="str">
        <x:v>KBSTAR 미국S&amp;P500</x:v>
      </x:c>
      <x:c r="J10" t="str">
        <x:v>KBSTAR 미국배당다우존스</x:v>
      </x:c>
    </x:row>
    <x:row r="11">
      <x:c r="A11" t="str">
        <x:v>188406-7352194</x:v>
      </x:c>
      <x:c r="B11" s="22" t="n">
        <x:v>0.047</x:v>
      </x:c>
      <x:c r="C11" s="22" t="n">
        <x:v>0.153</x:v>
      </x:c>
      <x:c r="D11" s="22" t="n">
        <x:v>0.55</x:v>
      </x:c>
      <x:c r="E11" t="str">
        <x:v>KB 퇴직연금 배당 (주식)</x:v>
      </x:c>
      <x:c r="F11" t="str">
        <x:v>하나 파이팅 코리아 (주식)</x:v>
      </x:c>
      <x:c r="G11" t="str">
        <x:v>신한 마음편한 TDF 시리즈</x:v>
      </x:c>
      <x:c r="H11" t="str">
        <x:v>KBSTAR 미국S&amp;P500</x:v>
      </x:c>
      <x:c r="I11" t="str">
        <x:v>KBSTAR 미국배당다우존스</x:v>
      </x:c>
      <x:c r="J11" t="str">
        <x:v>KBSTAR 200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13.380000114440918" hidden="0" customWidth="1"/>
    <x:col min="3" max="3" width="13.75" hidden="0" customWidth="1"/>
    <x:col min="4" max="4" width="14.380000114440918" hidden="0" customWidth="1"/>
    <x:col min="5" max="5" width="7.880000114440918" hidden="0" customWidth="1"/>
    <x:col min="6" max="6" width="15.25" hidden="0" customWidth="1"/>
    <x:col min="7" max="7" width="12" hidden="0" customWidth="1"/>
    <x:col min="8" max="8" width="23.75" hidden="0" customWidth="1"/>
    <x:col min="9" max="9" width="18.5" hidden="0" customWidth="1"/>
    <x:col min="10" max="10" width="11.5" hidden="0" customWidth="1"/>
    <x:col min="11" max="11" width="36" hidden="0" customWidth="1"/>
    <x:col min="12" max="12" width="7.380000114440918" hidden="0" customWidth="1"/>
  </x:cols>
  <x:sheetData>
    <x:row r="1" ht="24" customHeight="1">
      <x:c r="A1" s="5" t="str">
        <x:v>BADGES[] — 시스템 선별 세그먼트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" t="str">
        <x:v>KB-PIN</x:v>
      </x:c>
      <x:c r="B2" s="14" t="str">
        <x:v>미운용현금자산</x:v>
      </x:c>
      <x:c r="C2" s="14" t="str">
        <x:v>원리금보장 편중</x:v>
      </x:c>
      <x:c r="D2" s="14" t="str">
        <x:v>성향-운용 불일치</x:v>
      </x:c>
      <x:c r="E2" s="14" t="str">
        <x:v>만기도래</x:v>
      </x:c>
      <x:c r="F2" s="14" t="str">
        <x:v>판매중단펀드보유</x:v>
      </x:c>
      <x:c r="G2" s="14" t="str">
        <x:v>세액공제 잔여</x:v>
      </x:c>
      <x:c r="H2" s="14" t="str">
        <x:v>연금개시 요건충족 후 미개시</x:v>
      </x:c>
      <x:c r="I2" s="14" t="str">
        <x:v>ISA만기자금 보유 고객</x:v>
      </x:c>
      <x:c r="J2" s="14" t="str">
        <x:v>이탈위험관찰</x:v>
      </x:c>
      <x:c r="K2" s="14" t="str">
        <x:v>Badge표시</x:v>
      </x:c>
      <x:c r="L2" s="14" t="str">
        <x:v>복잡도</x:v>
      </x:c>
    </x:row>
    <x:row r="3">
      <x:c r="A3" t="str">
        <x:v>173544-2074623</x:v>
      </x:c>
      <x:c r="B3" t="str">
        <x:v>Y</x:v>
      </x:c>
      <x:c r="C3" t="str">
        <x:v>N</x:v>
      </x:c>
      <x:c r="D3" t="str">
        <x:v>N</x:v>
      </x:c>
      <x:c r="E3" t="str">
        <x:v>N</x:v>
      </x:c>
      <x:c r="F3" t="str">
        <x:v>N</x:v>
      </x:c>
      <x:c r="G3" t="str">
        <x:v>N</x:v>
      </x:c>
      <x:c r="H3" t="str">
        <x:v>N</x:v>
      </x:c>
      <x:c r="I3" t="str">
        <x:v>N</x:v>
      </x:c>
      <x:c r="J3" t="str">
        <x:v>N</x:v>
      </x:c>
      <x:c r="K3" t="str">
        <x:v>미운용현금자산</x:v>
      </x:c>
      <x:c r="L3" t="str">
        <x:v>단일</x:v>
      </x:c>
    </x:row>
    <x:row r="4">
      <x:c r="A4" t="str">
        <x:v>154821-4938201</x:v>
      </x:c>
      <x:c r="B4" t="str">
        <x:v>N</x:v>
      </x:c>
      <x:c r="C4" t="str">
        <x:v>N</x:v>
      </x:c>
      <x:c r="D4" t="str">
        <x:v>N</x:v>
      </x:c>
      <x:c r="E4" t="str">
        <x:v>N</x:v>
      </x:c>
      <x:c r="F4" t="str">
        <x:v>N</x:v>
      </x:c>
      <x:c r="G4" t="str">
        <x:v>Y</x:v>
      </x:c>
      <x:c r="H4" t="str">
        <x:v>N</x:v>
      </x:c>
      <x:c r="I4" t="str">
        <x:v>N</x:v>
      </x:c>
      <x:c r="J4" t="str">
        <x:v>N</x:v>
      </x:c>
      <x:c r="K4" t="str">
        <x:v>세액공제 잔여</x:v>
      </x:c>
      <x:c r="L4" t="str">
        <x:v>단일</x:v>
      </x:c>
    </x:row>
    <x:row r="5">
      <x:c r="A5" t="str">
        <x:v>198734-1205842</x:v>
      </x:c>
      <x:c r="B5" t="str">
        <x:v>N</x:v>
      </x:c>
      <x:c r="C5" t="str">
        <x:v>N</x:v>
      </x:c>
      <x:c r="D5" t="str">
        <x:v>N</x:v>
      </x:c>
      <x:c r="E5" t="str">
        <x:v>Y</x:v>
      </x:c>
      <x:c r="F5" t="str">
        <x:v>N</x:v>
      </x:c>
      <x:c r="G5" t="str">
        <x:v>N</x:v>
      </x:c>
      <x:c r="H5" t="str">
        <x:v>N</x:v>
      </x:c>
      <x:c r="I5" t="str">
        <x:v>N</x:v>
      </x:c>
      <x:c r="J5" t="str">
        <x:v>N</x:v>
      </x:c>
      <x:c r="K5" t="str">
        <x:v>만기도래</x:v>
      </x:c>
      <x:c r="L5" t="str">
        <x:v>단일</x:v>
      </x:c>
    </x:row>
    <x:row r="6">
      <x:c r="A6" t="str">
        <x:v>165932-8741205</x:v>
      </x:c>
      <x:c r="B6" t="str">
        <x:v>N</x:v>
      </x:c>
      <x:c r="C6" t="str">
        <x:v>N</x:v>
      </x:c>
      <x:c r="D6" t="str">
        <x:v>N</x:v>
      </x:c>
      <x:c r="E6" t="str">
        <x:v>N</x:v>
      </x:c>
      <x:c r="F6" t="str">
        <x:v>Y</x:v>
      </x:c>
      <x:c r="G6" t="str">
        <x:v>N</x:v>
      </x:c>
      <x:c r="H6" t="str">
        <x:v>N</x:v>
      </x:c>
      <x:c r="I6" t="str">
        <x:v>N</x:v>
      </x:c>
      <x:c r="J6" t="str">
        <x:v>N</x:v>
      </x:c>
      <x:c r="K6" t="str">
        <x:v>판매중단펀드보유</x:v>
      </x:c>
      <x:c r="L6" t="str">
        <x:v>단일</x:v>
      </x:c>
    </x:row>
    <x:row r="7">
      <x:c r="A7" t="str">
        <x:v>181245-3097614</x:v>
      </x:c>
      <x:c r="B7" t="str">
        <x:v>N</x:v>
      </x:c>
      <x:c r="C7" t="str">
        <x:v>Y</x:v>
      </x:c>
      <x:c r="D7" t="str">
        <x:v>Y</x:v>
      </x:c>
      <x:c r="E7" t="str">
        <x:v>N</x:v>
      </x:c>
      <x:c r="F7" t="str">
        <x:v>N</x:v>
      </x:c>
      <x:c r="G7" t="str">
        <x:v>N</x:v>
      </x:c>
      <x:c r="H7" t="str">
        <x:v>N</x:v>
      </x:c>
      <x:c r="I7" t="str">
        <x:v>N</x:v>
      </x:c>
      <x:c r="J7" t="str">
        <x:v>N</x:v>
      </x:c>
      <x:c r="K7" t="str">
        <x:v>원리금보장 편중 / 성향-운용 불일치</x:v>
      </x:c>
      <x:c r="L7" t="str">
        <x:v>2개 복합</x:v>
      </x:c>
    </x:row>
    <x:row r="8">
      <x:c r="A8" t="str">
        <x:v>176903-5528417</x:v>
      </x:c>
      <x:c r="B8" t="str">
        <x:v>N</x:v>
      </x:c>
      <x:c r="C8" t="str">
        <x:v>N</x:v>
      </x:c>
      <x:c r="D8" t="str">
        <x:v>N</x:v>
      </x:c>
      <x:c r="E8" t="str">
        <x:v>N</x:v>
      </x:c>
      <x:c r="F8" t="str">
        <x:v>N</x:v>
      </x:c>
      <x:c r="G8" t="str">
        <x:v>Y</x:v>
      </x:c>
      <x:c r="H8" t="str">
        <x:v>N</x:v>
      </x:c>
      <x:c r="I8" t="str">
        <x:v>Y</x:v>
      </x:c>
      <x:c r="J8" t="str">
        <x:v>N</x:v>
      </x:c>
      <x:c r="K8" t="str">
        <x:v>세액공제 잔여 / ISA만기자금 보유 고객</x:v>
      </x:c>
      <x:c r="L8" t="str">
        <x:v>2개 복합</x:v>
      </x:c>
    </x:row>
    <x:row r="9">
      <x:c r="A9" t="str">
        <x:v>193482-6012375</x:v>
      </x:c>
      <x:c r="B9" t="str">
        <x:v>N</x:v>
      </x:c>
      <x:c r="C9" t="str">
        <x:v>N</x:v>
      </x:c>
      <x:c r="D9" t="str">
        <x:v>N</x:v>
      </x:c>
      <x:c r="E9" t="str">
        <x:v>Y</x:v>
      </x:c>
      <x:c r="F9" t="str">
        <x:v>N</x:v>
      </x:c>
      <x:c r="G9" t="str">
        <x:v>N</x:v>
      </x:c>
      <x:c r="H9" t="str">
        <x:v>Y</x:v>
      </x:c>
      <x:c r="I9" t="str">
        <x:v>N</x:v>
      </x:c>
      <x:c r="J9" t="str">
        <x:v>N</x:v>
      </x:c>
      <x:c r="K9" t="str">
        <x:v>만기도래 / 연금개시 요건충족 후 미개시</x:v>
      </x:c>
      <x:c r="L9" t="str">
        <x:v>2개 복합</x:v>
      </x:c>
    </x:row>
    <x:row r="10">
      <x:c r="A10" t="str">
        <x:v>162754-9483106</x:v>
      </x:c>
      <x:c r="B10" t="str">
        <x:v>N</x:v>
      </x:c>
      <x:c r="C10" t="str">
        <x:v>N</x:v>
      </x:c>
      <x:c r="D10" t="str">
        <x:v>N</x:v>
      </x:c>
      <x:c r="E10" t="str">
        <x:v>N</x:v>
      </x:c>
      <x:c r="F10" t="str">
        <x:v>N</x:v>
      </x:c>
      <x:c r="G10" t="str">
        <x:v>N</x:v>
      </x:c>
      <x:c r="H10" t="str">
        <x:v>N</x:v>
      </x:c>
      <x:c r="I10" t="str">
        <x:v>N</x:v>
      </x:c>
      <x:c r="J10" t="str">
        <x:v>Y</x:v>
      </x:c>
      <x:c r="K10" t="str">
        <x:v>이탈위험관찰</x:v>
      </x:c>
      <x:c r="L10" t="str">
        <x:v>단일</x:v>
      </x:c>
    </x:row>
    <x:row r="11">
      <x:c r="A11" t="str">
        <x:v>188406-7352194</x:v>
      </x:c>
      <x:c r="B11" t="str">
        <x:v>Y</x:v>
      </x:c>
      <x:c r="C11" t="str">
        <x:v>N</x:v>
      </x:c>
      <x:c r="D11" t="str">
        <x:v>N</x:v>
      </x:c>
      <x:c r="E11" t="str">
        <x:v>N</x:v>
      </x:c>
      <x:c r="F11" t="str">
        <x:v>Y</x:v>
      </x:c>
      <x:c r="G11" t="str">
        <x:v>N</x:v>
      </x:c>
      <x:c r="H11" t="str">
        <x:v>N</x:v>
      </x:c>
      <x:c r="I11" t="str">
        <x:v>Y</x:v>
      </x:c>
      <x:c r="J11" t="str">
        <x:v>N</x:v>
      </x:c>
      <x:c r="K11" t="str">
        <x:v>미운용현금자산 / 판매중단펀드보유 / ISA만기자금 보유 고객</x:v>
      </x:c>
      <x:c r="L11" t="str">
        <x:v>3개 복합</x:v>
      </x:c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26.25" hidden="0" customWidth="1"/>
    <x:col min="3" max="3" width="48" hidden="0" customWidth="1"/>
    <x:col min="4" max="4" width="48" hidden="0" customWidth="1"/>
  </x:cols>
  <x:sheetData>
    <x:row r="1" ht="24" customHeight="1">
      <x:c r="A1" s="5" t="str">
        <x:v>데이터사전 / 목업 사용 가이드</x:v>
      </x:c>
      <x:c r="B1" s="5"/>
      <x:c r="C1" s="5"/>
      <x:c r="D1" s="5"/>
    </x:row>
    <x:row r="2">
      <x:c r="A2" s="14" t="str">
        <x:v>영역</x:v>
      </x:c>
      <x:c r="B2" s="14" t="str">
        <x:v>필드/규칙</x:v>
      </x:c>
      <x:c r="C2" s="14" t="str">
        <x:v>정의</x:v>
      </x:c>
      <x:c r="D2" s="14" t="str">
        <x:v>목업 적용</x:v>
      </x:c>
    </x:row>
    <x:row r="3">
      <x:c r="A3" t="str">
        <x:v>공통</x:v>
      </x:c>
      <x:c r="B3" t="str">
        <x:v>기준일</x:v>
      </x:c>
      <x:c r="C3" t="str">
        <x:v>2026-08-24 기준 더미데이터</x:v>
      </x:c>
      <x:c r="D3" t="str">
        <x:v>모든 날짜/만기 판정의 기준</x:v>
      </x:c>
    </x:row>
    <x:row r="4">
      <x:c r="A4" t="str">
        <x:v>BASIC</x:v>
      </x:c>
      <x:c r="B4" t="str">
        <x:v>KB스타클럽등급</x:v>
      </x:c>
      <x:c r="C4" t="str">
        <x:v>패밀리/그랜드/VIP/VVIP</x:v>
      </x:c>
      <x:c r="D4" t="str">
        <x:v>4등급 골고루 분산</x:v>
      </x:c>
    </x:row>
    <x:row r="5">
      <x:c r="A5" t="str">
        <x:v>IRP_SUMMARY</x:v>
      </x:c>
      <x:c r="B5" t="str">
        <x:v>자산유형별 금액/비중</x:v>
      </x:c>
      <x:c r="C5" t="str">
        <x:v>03_PRODUCTS에서 SUMIFS로 계산</x:v>
      </x:c>
      <x:c r="D5" t="str">
        <x:v>LLM이 직접 합산하지 않도록 구성</x:v>
      </x:c>
    </x:row>
    <x:row r="6">
      <x:c r="A6" t="str">
        <x:v>IRP_SUMMARY</x:v>
      </x:c>
      <x:c r="B6" t="str">
        <x:v>최근1년IRP수익률</x:v>
      </x:c>
      <x:c r="C6" t="str">
        <x:v>시스템 산출값 가정</x:v>
      </x:c>
      <x:c r="D6" t="str">
        <x:v>-9.4% ~ +32.6%로 폭 확대</x:v>
      </x:c>
    </x:row>
    <x:row r="7">
      <x:c r="A7" t="str">
        <x:v>ACTIVITY</x:v>
      </x:c>
      <x:c r="B7" t="str">
        <x:v>최근1개월고유계정대증감액</x:v>
      </x:c>
      <x:c r="C7" t="str">
        <x:v>+ 증가 / - 감소 / 0 무변동</x:v>
      </x:c>
      <x:c r="D7" t="str">
        <x:v>미운용·이탈관찰 맥락에 활용</x:v>
      </x:c>
    </x:row>
    <x:row r="8">
      <x:c r="A8" t="str">
        <x:v>TAX_ISA</x:v>
      </x:c>
      <x:c r="B8" t="str">
        <x:v>세액공제잔여한도</x:v>
      </x:c>
      <x:c r="C8" t="str">
        <x:v>시스템 산출값 가정</x:v>
      </x:c>
      <x:c r="D8" t="str">
        <x:v>0 또는 300만원 등 케이스 차등</x:v>
      </x:c>
    </x:row>
    <x:row r="9">
      <x:c r="A9" t="str">
        <x:v>PENSION</x:v>
      </x:c>
      <x:c r="B9" t="str">
        <x:v>연금개시요건충족여부</x:v>
      </x:c>
      <x:c r="C9" t="str">
        <x:v>만55세↑ AND 가입 5년↑ AND 개인부담금&gt;0</x:v>
      </x:c>
      <x:c r="D9" t="str">
        <x:v>엑셀 수식으로 산출</x:v>
      </x:c>
    </x:row>
    <x:row r="10">
      <x:c r="A10" t="str">
        <x:v>PEER_COMPARE</x:v>
      </x:c>
      <x:c r="B10" t="str">
        <x:v>동연령 상위1% 데이터</x:v>
      </x:c>
      <x:c r="C10" t="str">
        <x:v>수익률/원리금보장 비중/최다보유상품</x:v>
      </x:c>
      <x:c r="D10" t="str">
        <x:v>적극운용·리밸런싱 설명 근거용</x:v>
      </x:c>
    </x:row>
    <x:row r="11">
      <x:c r="A11" t="str">
        <x:v>BADGES</x:v>
      </x:c>
      <x:c r="B11" t="str">
        <x:v>Badge</x:v>
      </x:c>
      <x:c r="C11" t="str">
        <x:v>첫 화면 시스템에서 이미 부여된 값</x:v>
      </x:c>
      <x:c r="D11" t="str">
        <x:v>상세 Agent는 재판정하지 않음</x:v>
      </x:c>
    </x:row>
    <x:row r="12">
      <x:c r="A12" t="str">
        <x:v>시연 설계</x:v>
      </x:c>
      <x:c r="B12" t="str">
        <x:v>복잡도</x:v>
      </x:c>
      <x:c r="C12" t="str">
        <x:v>단일 5명 / 2개복합 3명 / 3개복합 1명</x:v>
      </x:c>
      <x:c r="D12" t="str">
        <x:v>단조로운 케이스와 복합 케이스 혼합</x:v>
      </x:c>
    </x:row>
    <x:row r="13">
      <x:c r="A13" t="str">
        <x:v>주의</x:v>
      </x:c>
      <x:c r="B13" t="str">
        <x:v>모든 값</x:v>
      </x:c>
      <x:c r="C13" t="str">
        <x:v>실제 고객/상품/수익률이 아닌 목업용 가상 데이터</x:v>
      </x:c>
      <x:c r="D13" t="str">
        <x:v>실거래·대고객 안내에 사용 금지</x:v>
      </x:c>
    </x:row>
    <x:row r="14">
      <x:c r="A14" t="str">
        <x:v>BASIC</x:v>
      </x:c>
      <x:c r="B14" t="str">
        <x:v>KB-PIN</x:v>
      </x:c>
      <x:c r="C14" t="str">
        <x:v>1로 시작하는 13자리 고객 식별번호, 화면 표시는 6자리-7자리</x:v>
      </x:c>
      <x:c r="D14" t="str">
        <x:v>예: 173544-2074623</x:v>
      </x:c>
    </x:row>
    <x:row r="15">
      <x:c r="A15" t="str">
        <x:v>PRODUCTS</x:v>
      </x:c>
      <x:c r="B15" t="str">
        <x:v>퇴직연금상품위험등급구분코드</x:v>
      </x:c>
      <x:c r="C15" t="str">
        <x:v>매우높은위험/높은위험/다소높은위험/보통위험/낮은위험/매우낮은위험</x:v>
      </x:c>
      <x:c r="D15" t="str">
        <x:v>문자형 코드로 통일</x:v>
      </x:c>
    </x:row>
    <x:row r="16">
      <x:c r="A16" t="str">
        <x:v>PRODUCTS</x:v>
      </x:c>
      <x:c r="B16" t="str">
        <x:v>상품명 출처</x:v>
      </x:c>
      <x:c r="C16" t="str">
        <x:v>퇴직연금_상품자료_2026년8월_가공완료.docx p.3~11의 추천펀드·포트폴리오 명칭을 우선 반영</x:v>
      </x:c>
      <x:c r="D16" t="str">
        <x:v>ETF 사례는 목업 시연을 위해 별도 표기</x:v>
      </x:c>
    </x:row>
    <x:row r="17">
      <x:c r="A17" t="str">
        <x:v>PRODUCTS</x:v>
      </x:c>
      <x:c r="B17" t="str">
        <x:v>예금상품 기관</x:v>
      </x:c>
      <x:c r="C17" t="str">
        <x:v>당행 KB 예금은 제외</x:v>
      </x:c>
      <x:c r="D17" t="str">
        <x:v>신한/하나/SBI저축은행/기업은행 예시 사용</x:v>
      </x:c>
    </x:row>
    <x:row r="18">
      <x:c r="A18" t="str">
        <x:v>PRODUCTS</x:v>
      </x:c>
      <x:c r="B18" t="str">
        <x:v>판매상태</x:v>
      </x:c>
      <x:c r="C18" t="str">
        <x:v>판매중단 여부는 목업 시나리오용 가상 상태</x:v>
      </x:c>
      <x:c r="D18" t="str">
        <x:v>첨부 상품자료의 실제 판매상태를 의미하지 않음</x:v>
      </x:c>
    </x:row>
    <x:row r="19">
      <x:c r="A19" t="str">
        <x:v>상담이력</x:v>
      </x:c>
      <x:c r="B19" t="str">
        <x:v>상담이력내용</x:v>
      </x:c>
      <x:c r="C19" t="str">
        <x:v>과거 상담 의사·불만·관심사항을 LLM이 현재 솔루션과 화법에 함께 반영</x:v>
      </x:c>
      <x:c r="D19" t="str">
        <x:v>최근상담일 공란 고객은 상담이력 없음</x:v>
      </x:c>
    </x:row>
    <x:row r="20">
      <x:c r="A20" t="str">
        <x:v>TAX_AND_ISA</x:v>
      </x:c>
      <x:c r="B20" t="str">
        <x:v>총급여</x:v>
      </x:c>
      <x:c r="C20" t="str">
        <x:v>연간 총급여(원). 5,500만원 이하 16.5% · 초과 13.2% (지방소득세 포함)</x:v>
      </x:c>
      <x:c r="D20" t="str">
        <x:v>원본 9Cases 에 없던 컬럼 — 세액공제 갈래를 시연·테스트하려고 부여한 값</x:v>
      </x:c>
    </x:row>
    <x:row r="21">
      <x:c r="A21" t="str">
        <x:v>TAX_AND_ISA</x:v>
      </x:c>
      <x:c r="B21" t="str">
        <x:v>연금저축보유여부</x:v>
      </x:c>
      <x:c r="C21" t="str">
        <x:v>연금저축(연금저축펀드 포함) 계좌 보유 여부 Y/N. 비어 있으면 미확인</x:v>
      </x:c>
      <x:c r="D21" t="str">
        <x:v>원본 9Cases 에 없던 컬럼 — 오세훈(193482-6012375)에만 Y 부여, 나머지는 미확인으로 비워 둠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" hidden="0" customWidth="1"/>
    <x:col min="3" max="3" width="9.75" hidden="0" customWidth="1"/>
    <x:col min="4" max="4" width="60" hidden="0" customWidth="1"/>
  </x:cols>
  <x:sheetData>
    <x:row r="1">
      <x:c r="A1" s="31" t="str">
        <x:v>상담이력 — LLM 참고용 고객 과거 상담 맥락</x:v>
      </x:c>
      <x:c r="B1" s="31"/>
      <x:c r="C1" s="31"/>
      <x:c r="D1" s="31"/>
    </x:row>
    <x:row r="2">
      <x:c r="A2" s="36" t="str">
        <x:v>KB-PIN</x:v>
      </x:c>
      <x:c r="B2" s="36" t="str">
        <x:v>고객명</x:v>
      </x:c>
      <x:c r="C2" s="36" t="str">
        <x:v>상담년월일</x:v>
      </x:c>
      <x:c r="D2" s="36" t="str">
        <x:v>상담이력내용</x:v>
      </x:c>
    </x:row>
    <x:row r="3">
      <x:c r="A3" t="str">
        <x:v>154821-4938201</x:v>
      </x:c>
      <x:c r="B3" t="str">
        <x:v>박지민</x:v>
      </x:c>
      <x:c r="C3" s="24" t="n">
        <x:v>46011</x:v>
      </x:c>
      <x:c r="D3" t="str">
        <x:v>연말 세액공제 한도 안내. 추가 납입 후에도 기존 실적배당상품 운용을 유지하고 싶다는 의사 확인.</x:v>
      </x:c>
    </x:row>
    <x:row r="4">
      <x:c r="A4" t="str">
        <x:v>154821-4938201</x:v>
      </x:c>
      <x:c r="B4" t="str">
        <x:v>박지민</x:v>
      </x:c>
      <x:c r="C4" s="24" t="n">
        <x:v>46205</x:v>
      </x:c>
      <x:c r="D4" t="str">
        <x:v>미국주식형 자산의 최근 성과를 점검함. 단기 변동성은 감수 가능하며 현재 운용방향 유지 희망.</x:v>
      </x:c>
    </x:row>
    <x:row r="5">
      <x:c r="A5" t="str">
        <x:v>198734-1205842</x:v>
      </x:c>
      <x:c r="B5" t="str">
        <x:v>이준호</x:v>
      </x:c>
      <x:c r="C5" s="24" t="n">
        <x:v>46170</x:v>
      </x:c>
      <x:c r="D5" t="str">
        <x:v>정기예금 만기 시점에 일부 금액을 실적배당상품으로 전환하는 방안에 관심을 보임.</x:v>
      </x:c>
    </x:row>
    <x:row r="6">
      <x:c r="A6" t="str">
        <x:v>165932-8741205</x:v>
      </x:c>
      <x:c r="B6" t="str">
        <x:v>최서윤</x:v>
      </x:c>
      <x:c r="C6" s="24" t="n">
        <x:v>46006</x:v>
      </x:c>
      <x:c r="D6" t="str">
        <x:v>보유 펀드 손실에 대한 불만을 표명. 추가 손실 우려로 즉시 매도보다는 상품 상태와 대안을 먼저 비교해달라고 요청.</x:v>
      </x:c>
    </x:row>
    <x:row r="7">
      <x:c r="A7" t="str">
        <x:v>181245-3097614</x:v>
      </x:c>
      <x:c r="B7" t="str">
        <x:v>정민석</x:v>
      </x:c>
      <x:c r="C7" s="24" t="n">
        <x:v>46073</x:v>
      </x:c>
      <x:c r="D7" t="str">
        <x:v>원금손실 우려가 커 IRP는 예금 중심으로 유지 중. 다만 타 계좌에서 ETF 투자경험이 있다고 언급.</x:v>
      </x:c>
    </x:row>
    <x:row r="8">
      <x:c r="A8" t="str">
        <x:v>176903-5528417</x:v>
      </x:c>
      <x:c r="B8" t="str">
        <x:v>한지우</x:v>
      </x:c>
      <x:c r="C8" s="24" t="n">
        <x:v>46234</x:v>
      </x:c>
      <x:c r="D8" t="str">
        <x:v>타행 ISA 만기자금의 IRP 활용 가능 여부 문의. 만기 시점에 세액공제 잔여한도와 함께 다시 상담하기로 함.</x:v>
      </x:c>
    </x:row>
    <x:row r="9">
      <x:c r="A9" t="str">
        <x:v>193482-6012375</x:v>
      </x:c>
      <x:c r="B9" t="str">
        <x:v>오세훈</x:v>
      </x:c>
      <x:c r="C9" s="24" t="n">
        <x:v>46185</x:v>
      </x:c>
      <x:c r="D9" t="str">
        <x:v>연금개시 가능 시점과 수령방법을 문의했으나 당장 개시하기보다는 일정 기간 운용을 지속하고 싶다는 의사.</x:v>
      </x:c>
    </x:row>
    <x:row r="10">
      <x:c r="A10" t="str">
        <x:v>162754-9483106</x:v>
      </x:c>
      <x:c r="B10" t="str">
        <x:v>윤가영</x:v>
      </x:c>
      <x:c r="C10" s="24" t="n">
        <x:v>46239</x:v>
      </x:c>
      <x:c r="D10" t="str">
        <x:v>증권사의 ETF 거래 편의성과 상품 선택 폭을 문의. 최근 현금성자산이 크게 늘어난 상태로 향후 운용방향을 검토 중.</x:v>
      </x:c>
    </x:row>
    <x:row r="11">
      <x:c r="A11" t="str">
        <x:v>188406-7352194</x:v>
      </x:c>
      <x:c r="B11" t="str">
        <x:v>송도윤</x:v>
      </x:c>
      <x:c r="C11" s="24" t="n">
        <x:v>45936</x:v>
      </x:c>
      <x:c r="D11" t="str">
        <x:v>수익이 난 투자상품은 유지하되 현금성자산은 시장 상황을 보면서 단계적으로 재투자하고 싶다는 의사.</x:v>
      </x:c>
    </x:row>
  </x:sheetData>
  <x:mergeCells>
    <x:mergeCell ref="A1:D1"/>
  </x:mergeCells>
  <x:pageMargins left="0.7" right="0.7" top="0.75" bottom="0.75" header="0.3" footer="0.3"/>
</x:worksheet>
</file>